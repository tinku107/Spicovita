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nch Checklist" sheetId="1" state="visible" r:id="rId1"/>
    <sheet xmlns:r="http://schemas.openxmlformats.org/officeDocument/2006/relationships" name="Budget" sheetId="2" state="visible" r:id="rId2"/>
    <sheet xmlns:r="http://schemas.openxmlformats.org/officeDocument/2006/relationships" name="Transactions" sheetId="3" state="visible" r:id="rId3"/>
    <sheet xmlns:r="http://schemas.openxmlformats.org/officeDocument/2006/relationships" name="Inventory" sheetId="4" state="visible" r:id="rId4"/>
    <sheet xmlns:r="http://schemas.openxmlformats.org/officeDocument/2006/relationships" name="Suppli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D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0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#</t>
        </is>
      </c>
      <c r="B1" s="1" t="inlineStr">
        <is>
          <t>Area</t>
        </is>
      </c>
      <c r="C1" s="1" t="inlineStr">
        <is>
          <t>Task</t>
        </is>
      </c>
      <c r="D1" s="1" t="inlineStr">
        <is>
          <t>Status</t>
        </is>
      </c>
      <c r="E1" s="1" t="inlineStr">
        <is>
          <t>Owner</t>
        </is>
      </c>
      <c r="F1" s="1" t="inlineStr">
        <is>
          <t>Est. cost ₹</t>
        </is>
      </c>
      <c r="G1" s="1" t="inlineStr">
        <is>
          <t>Actual ₹</t>
        </is>
      </c>
      <c r="H1" s="1" t="inlineStr">
        <is>
          <t>Due date</t>
        </is>
      </c>
      <c r="I1" s="1" t="inlineStr">
        <is>
          <t>Notes</t>
        </is>
      </c>
    </row>
    <row r="2">
      <c r="A2" t="n">
        <v>1</v>
      </c>
      <c r="B2" t="inlineStr">
        <is>
          <t>Legal</t>
        </is>
      </c>
      <c r="C2" t="inlineStr">
        <is>
          <t>Confirm/upgrade FSSAI category (Retailer -&gt; Trader/Marketer/Repacker) via FoSCoS 1800 112 100</t>
        </is>
      </c>
      <c r="D2" t="inlineStr">
        <is>
          <t>Not started</t>
        </is>
      </c>
      <c r="E2" t="inlineStr">
        <is>
          <t>Tinku</t>
        </is>
      </c>
      <c r="F2" t="n">
        <v>0</v>
      </c>
      <c r="H2" s="3" t="n">
        <v>46311</v>
      </c>
      <c r="I2" t="inlineStr">
        <is>
          <t>Add Marketer/repacker category; current reg 21226194003349 is Retailer only</t>
        </is>
      </c>
    </row>
    <row r="3">
      <c r="A3" t="n">
        <v>2</v>
      </c>
      <c r="B3" t="inlineStr">
        <is>
          <t>Legal</t>
        </is>
      </c>
      <c r="C3" t="inlineStr">
        <is>
          <t>GST registration approved (Regular, not Composition, for quick-commerce)</t>
        </is>
      </c>
      <c r="D3" t="inlineStr">
        <is>
          <t>In progress</t>
        </is>
      </c>
      <c r="E3" t="inlineStr">
        <is>
          <t>Tinku</t>
        </is>
      </c>
      <c r="F3" t="n">
        <v>0</v>
      </c>
      <c r="H3" s="3" t="n">
        <v>46315</v>
      </c>
      <c r="I3" t="inlineStr">
        <is>
          <t>14 Oct: GST registration certificate (file AA291026038146B_RC14102026.pdf) emailed by Tinku to himself. GSTIN and scheme (Regular vs Composition) still to be confirmed from the certificate.</t>
        </is>
      </c>
    </row>
    <row r="4">
      <c r="A4" t="n">
        <v>3</v>
      </c>
      <c r="B4" t="inlineStr">
        <is>
          <t>Legal</t>
        </is>
      </c>
      <c r="C4" t="inlineStr">
        <is>
          <t>Business current account (name same as GST/PAN/FSSAI)</t>
        </is>
      </c>
      <c r="D4" t="inlineStr">
        <is>
          <t>Not started</t>
        </is>
      </c>
      <c r="E4" t="inlineStr">
        <is>
          <t>Tinku</t>
        </is>
      </c>
      <c r="F4" t="n">
        <v>0</v>
      </c>
      <c r="H4" s="3" t="n">
        <v>46313</v>
      </c>
      <c r="I4" t="inlineStr">
        <is>
          <t>GST certificate now available (14 Oct), so the bank application can start.</t>
        </is>
      </c>
    </row>
    <row r="5">
      <c r="A5" t="n">
        <v>4</v>
      </c>
      <c r="B5" t="inlineStr">
        <is>
          <t>Legal</t>
        </is>
      </c>
      <c r="C5" t="inlineStr">
        <is>
          <t>Udyam (MSME) registration - free</t>
        </is>
      </c>
      <c r="D5" t="inlineStr">
        <is>
          <t>Done</t>
        </is>
      </c>
      <c r="E5" t="inlineStr">
        <is>
          <t>Tinku</t>
        </is>
      </c>
      <c r="F5" t="n">
        <v>0</v>
      </c>
      <c r="H5" s="3" t="n">
        <v>46310</v>
      </c>
      <c r="I5" t="inlineStr">
        <is>
          <t>UDYAM-KR-03-0774393 registered 15 Oct 2026 (free at udyamregistration.gov.in)</t>
        </is>
      </c>
    </row>
    <row r="6">
      <c r="A6" t="n">
        <v>5</v>
      </c>
      <c r="B6" t="inlineStr">
        <is>
          <t>Legal</t>
        </is>
      </c>
      <c r="C6" t="inlineStr">
        <is>
          <t>BBMP trade licence (physical premises address)</t>
        </is>
      </c>
      <c r="D6" t="inlineStr">
        <is>
          <t>Not started</t>
        </is>
      </c>
      <c r="E6" t="inlineStr">
        <is>
          <t>Tinku</t>
        </is>
      </c>
      <c r="F6" t="n">
        <v>3000</v>
      </c>
      <c r="H6" s="3" t="n">
        <v>46315</v>
      </c>
    </row>
    <row r="7">
      <c r="A7" t="n">
        <v>6</v>
      </c>
      <c r="B7" t="inlineStr">
        <is>
          <t>Legal</t>
        </is>
      </c>
      <c r="C7" t="inlineStr">
        <is>
          <t>Trademark search on IP India + file TM-A (Class 30/31)</t>
        </is>
      </c>
      <c r="D7" t="inlineStr">
        <is>
          <t>In progress</t>
        </is>
      </c>
      <c r="E7" t="inlineStr">
        <is>
          <t>Tinku</t>
        </is>
      </c>
      <c r="F7" t="n">
        <v>4500</v>
      </c>
      <c r="H7" s="3" t="n">
        <v>46311</v>
      </c>
      <c r="I7" t="inlineStr">
        <is>
          <t>Secondary registry mirror: SPICO (App 1518819, Class 30, Nilesh Jain, Indore) listed Registered for snacks/namkeens/rice/flour/spices etc. Confirm on IP India Public Search; pick fallback names before printing.</t>
        </is>
      </c>
    </row>
    <row r="8">
      <c r="A8" t="n">
        <v>7</v>
      </c>
      <c r="B8" t="inlineStr">
        <is>
          <t>Sourcing</t>
        </is>
      </c>
      <c r="C8" t="inlineStr">
        <is>
          <t>Shortlist 3 pulse suppliers &amp; get rate quotes (APMC Yeshwanthpur)</t>
        </is>
      </c>
      <c r="D8" t="inlineStr">
        <is>
          <t>In progress</t>
        </is>
      </c>
      <c r="E8" t="inlineStr">
        <is>
          <t>Tinku</t>
        </is>
      </c>
      <c r="F8" t="n">
        <v>0</v>
      </c>
      <c r="H8" s="3" t="n">
        <v>46313</v>
      </c>
      <c r="I8" t="inlineStr">
        <is>
          <t>Emailed Sri R K Traders (srirktraders1@gmail.com) and Hazalmo (info@hazalmo.com) on 13 Oct 2026 ~4:20 PM IST; awaiting replies. More APMC contacts still uncontacted.</t>
        </is>
      </c>
    </row>
    <row r="9">
      <c r="A9" t="n">
        <v>8</v>
      </c>
      <c r="B9" t="inlineStr">
        <is>
          <t>Sourcing</t>
        </is>
      </c>
      <c r="C9" t="inlineStr">
        <is>
          <t>Sample purchase &amp; quality check</t>
        </is>
      </c>
      <c r="D9" t="inlineStr">
        <is>
          <t>Not started</t>
        </is>
      </c>
      <c r="E9" t="inlineStr">
        <is>
          <t>Tinku</t>
        </is>
      </c>
      <c r="F9" t="n">
        <v>2000</v>
      </c>
      <c r="H9" s="3" t="n">
        <v>46315</v>
      </c>
    </row>
    <row r="10">
      <c r="A10" t="n">
        <v>9</v>
      </c>
      <c r="B10" t="inlineStr">
        <is>
          <t>Sourcing</t>
        </is>
      </c>
      <c r="C10" t="inlineStr">
        <is>
          <t>Select FSSAI-licensed contract repacker; get quote &amp; agreement</t>
        </is>
      </c>
      <c r="D10" t="inlineStr">
        <is>
          <t>Not started</t>
        </is>
      </c>
      <c r="E10" t="inlineStr">
        <is>
          <t>Tinku</t>
        </is>
      </c>
      <c r="F10" t="n">
        <v>0</v>
      </c>
      <c r="H10" s="3" t="n">
        <v>46315</v>
      </c>
    </row>
    <row r="11">
      <c r="A11" t="n">
        <v>10</v>
      </c>
      <c r="B11" t="inlineStr">
        <is>
          <t>Quality</t>
        </is>
      </c>
      <c r="C11" t="inlineStr">
        <is>
          <t>NABL lab test for nutrition values (per product)</t>
        </is>
      </c>
      <c r="D11" t="inlineStr">
        <is>
          <t>Not started</t>
        </is>
      </c>
      <c r="E11" t="inlineStr">
        <is>
          <t>Tinku</t>
        </is>
      </c>
      <c r="F11" t="n">
        <v>6000</v>
      </c>
      <c r="H11" s="3" t="n">
        <v>46320</v>
      </c>
      <c r="I11" t="inlineStr">
        <is>
          <t>Rs3k per product; 2 SKUs ~Rs6k, 4 SKUs ~Rs12k (pending SKU decision)</t>
        </is>
      </c>
    </row>
    <row r="12">
      <c r="A12" t="n">
        <v>11</v>
      </c>
      <c r="B12" t="inlineStr">
        <is>
          <t>Packaging</t>
        </is>
      </c>
      <c r="C12" t="inlineStr">
        <is>
          <t>Finalise label (repacker details, lab values, contact, MRP)</t>
        </is>
      </c>
      <c r="D12" t="inlineStr">
        <is>
          <t>Not started</t>
        </is>
      </c>
      <c r="E12" t="inlineStr">
        <is>
          <t>Tinku</t>
        </is>
      </c>
      <c r="F12" t="n">
        <v>0</v>
      </c>
      <c r="H12" s="3" t="n">
        <v>46320</v>
      </c>
    </row>
    <row r="13">
      <c r="A13" t="n">
        <v>12</v>
      </c>
      <c r="B13" t="inlineStr">
        <is>
          <t>Packaging</t>
        </is>
      </c>
      <c r="C13" t="inlineStr">
        <is>
          <t>Order pouches &amp; labels</t>
        </is>
      </c>
      <c r="D13" t="inlineStr">
        <is>
          <t>Not started</t>
        </is>
      </c>
      <c r="E13" t="inlineStr">
        <is>
          <t>Tinku</t>
        </is>
      </c>
      <c r="F13" t="n">
        <v>12000</v>
      </c>
      <c r="H13" s="3" t="n">
        <v>46322</v>
      </c>
    </row>
    <row r="14">
      <c r="A14" t="n">
        <v>13</v>
      </c>
      <c r="B14" t="inlineStr">
        <is>
          <t>Packaging</t>
        </is>
      </c>
      <c r="C14" t="inlineStr">
        <is>
          <t>Barcode: decide GS1 (or Blinkit exception code) before printing</t>
        </is>
      </c>
      <c r="D14" t="inlineStr">
        <is>
          <t>Not started</t>
        </is>
      </c>
      <c r="E14" t="inlineStr">
        <is>
          <t>Tinku</t>
        </is>
      </c>
      <c r="F14" t="n">
        <v>0</v>
      </c>
      <c r="H14" s="3" t="n">
        <v>46320</v>
      </c>
      <c r="I14" t="inlineStr">
        <is>
          <t>GS1 on hold (~Rs50k); ask Blinkit for exception code</t>
        </is>
      </c>
    </row>
    <row r="15">
      <c r="A15" t="n">
        <v>14</v>
      </c>
      <c r="B15" t="inlineStr">
        <is>
          <t>Sales</t>
        </is>
      </c>
      <c r="C15" t="inlineStr">
        <is>
          <t>Blinkit Seller Hub application</t>
        </is>
      </c>
      <c r="D15" t="inlineStr">
        <is>
          <t>Not started</t>
        </is>
      </c>
      <c r="E15" t="inlineStr">
        <is>
          <t>Tinku</t>
        </is>
      </c>
      <c r="F15" t="n">
        <v>0</v>
      </c>
      <c r="H15" s="3" t="n">
        <v>46338</v>
      </c>
      <c r="I15" t="inlineStr">
        <is>
          <t>Hold until repacker quotes; QC MRP ~Rs229/kg at 12% margin</t>
        </is>
      </c>
    </row>
    <row r="16">
      <c r="A16" t="n">
        <v>15</v>
      </c>
      <c r="B16" t="inlineStr">
        <is>
          <t>Sales</t>
        </is>
      </c>
      <c r="C16" t="inlineStr">
        <is>
          <t>Zepto application</t>
        </is>
      </c>
      <c r="D16" t="inlineStr">
        <is>
          <t>Not started</t>
        </is>
      </c>
      <c r="E16" t="inlineStr">
        <is>
          <t>Tinku</t>
        </is>
      </c>
      <c r="F16" t="n">
        <v>0</v>
      </c>
      <c r="H16" s="3" t="n">
        <v>46338</v>
      </c>
      <c r="I16" t="inlineStr">
        <is>
          <t>Hold, as above</t>
        </is>
      </c>
    </row>
    <row r="17">
      <c r="A17" t="n">
        <v>16</v>
      </c>
      <c r="B17" t="inlineStr">
        <is>
          <t>Sales</t>
        </is>
      </c>
      <c r="C17" t="inlineStr">
        <is>
          <t>Swiggy Instamart application</t>
        </is>
      </c>
      <c r="D17" t="inlineStr">
        <is>
          <t>Not started</t>
        </is>
      </c>
      <c r="E17" t="inlineStr">
        <is>
          <t>Tinku</t>
        </is>
      </c>
      <c r="F17" t="n">
        <v>0</v>
      </c>
      <c r="H17" s="3" t="n">
        <v>46338</v>
      </c>
      <c r="I17" t="inlineStr">
        <is>
          <t>Hold, as above</t>
        </is>
      </c>
    </row>
    <row r="18">
      <c r="A18" t="n">
        <v>17</v>
      </c>
      <c r="B18" t="inlineStr">
        <is>
          <t>Sales</t>
        </is>
      </c>
      <c r="C18" t="inlineStr">
        <is>
          <t>Identify &amp; pitch 5 line suppliers/distributors (rate card ready)</t>
        </is>
      </c>
      <c r="D18" t="inlineStr">
        <is>
          <t>Not started</t>
        </is>
      </c>
      <c r="E18" t="inlineStr">
        <is>
          <t>Tinku</t>
        </is>
      </c>
      <c r="F18" t="n">
        <v>1000</v>
      </c>
      <c r="H18" s="3" t="n">
        <v>46326</v>
      </c>
    </row>
    <row r="19">
      <c r="A19" t="n">
        <v>18</v>
      </c>
      <c r="B19" t="inlineStr">
        <is>
          <t>Sales</t>
        </is>
      </c>
      <c r="C19" t="inlineStr">
        <is>
          <t>Kirana sampling in Koramangala/Jayanagar/JP Nagar/E-City/MG Road</t>
        </is>
      </c>
      <c r="D19" t="inlineStr">
        <is>
          <t>Not started</t>
        </is>
      </c>
      <c r="E19" t="inlineStr">
        <is>
          <t>Tinku</t>
        </is>
      </c>
      <c r="F19" t="n">
        <v>3500</v>
      </c>
      <c r="H19" s="3" t="n">
        <v>46326</v>
      </c>
      <c r="I19" t="inlineStr">
        <is>
          <t>Marketing plan: marketing/launch_marketing_plan.md</t>
        </is>
      </c>
    </row>
    <row r="20">
      <c r="A20" t="n">
        <v>19</v>
      </c>
      <c r="B20" t="inlineStr">
        <is>
          <t>Finance</t>
        </is>
      </c>
      <c r="C20" t="inlineStr">
        <is>
          <t>Set up billing software &amp; opening stock</t>
        </is>
      </c>
      <c r="D20" t="inlineStr">
        <is>
          <t>Not started</t>
        </is>
      </c>
      <c r="E20" t="inlineStr">
        <is>
          <t>Tinku</t>
        </is>
      </c>
      <c r="F20" t="n">
        <v>0</v>
      </c>
      <c r="H20" s="3" t="n">
        <v>46322</v>
      </c>
      <c r="I20" t="inlineStr">
        <is>
          <t>Vyapar or myBillBook</t>
        </is>
      </c>
    </row>
    <row r="21">
      <c r="A21" t="n">
        <v>20</v>
      </c>
      <c r="B21" t="inlineStr">
        <is>
          <t>Finance</t>
        </is>
      </c>
      <c r="C21" t="inlineStr">
        <is>
          <t>Monthly GST return filing calendar</t>
        </is>
      </c>
      <c r="D21" t="inlineStr">
        <is>
          <t>Not started</t>
        </is>
      </c>
      <c r="E21" t="inlineStr">
        <is>
          <t>Tinku</t>
        </is>
      </c>
      <c r="F21" t="n">
        <v>0</v>
      </c>
      <c r="H21" s="3" t="n">
        <v>46322</v>
      </c>
    </row>
    <row r="22">
      <c r="A22" t="n">
        <v>21</v>
      </c>
      <c r="B22" t="inlineStr">
        <is>
          <t>Decision</t>
        </is>
      </c>
      <c r="C22" t="inlineStr">
        <is>
          <t>Launch with 2 SKUs (toor, moong) or all 4</t>
        </is>
      </c>
      <c r="D22" t="inlineStr">
        <is>
          <t>On hold</t>
        </is>
      </c>
      <c r="E22" t="inlineStr">
        <is>
          <t>Tinku</t>
        </is>
      </c>
      <c r="F22" t="n">
        <v>0</v>
      </c>
      <c r="H22" s="3" t="n">
        <v>46309</v>
      </c>
      <c r="I22" t="inlineStr">
        <is>
          <t>13 Oct: 2-SKU choice reopened, awaiting final product list</t>
        </is>
      </c>
    </row>
    <row r="23">
      <c r="A23" t="n">
        <v>22</v>
      </c>
      <c r="B23" t="inlineStr">
        <is>
          <t>Decision</t>
        </is>
      </c>
      <c r="C23" t="inlineStr">
        <is>
          <t>Approve Rs8,000 marketing cap (budget has Rs4,500)</t>
        </is>
      </c>
      <c r="D23" t="inlineStr">
        <is>
          <t>Not started</t>
        </is>
      </c>
      <c r="E23" t="inlineStr">
        <is>
          <t>Tinku</t>
        </is>
      </c>
      <c r="F23" t="n">
        <v>8000</v>
      </c>
      <c r="H23" s="3" t="n">
        <v>46309</v>
      </c>
      <c r="I23" t="inlineStr">
        <is>
          <t>Hold public branding; pick 2-3 names for free IP India search by 16 Oct</t>
        </is>
      </c>
    </row>
    <row r="24">
      <c r="A24" t="n">
        <v>23</v>
      </c>
      <c r="B24" t="inlineStr">
        <is>
          <t>Decision</t>
        </is>
      </c>
      <c r="C24" t="inlineStr">
        <is>
          <t>Fallback brand name if SPICO conflicts</t>
        </is>
      </c>
      <c r="D24" t="inlineStr">
        <is>
          <t>Not started</t>
        </is>
      </c>
      <c r="E24" t="inlineStr">
        <is>
          <t>Tinku</t>
        </is>
      </c>
      <c r="F24" t="n">
        <v>0</v>
      </c>
      <c r="H24" s="3" t="n">
        <v>46311</v>
      </c>
      <c r="I24" t="inlineStr">
        <is>
          <t>Hold public branding</t>
        </is>
      </c>
    </row>
    <row r="25">
      <c r="A25" t="n">
        <v>24</v>
      </c>
      <c r="B25" t="inlineStr">
        <is>
          <t>Decision</t>
        </is>
      </c>
      <c r="C25" t="inlineStr">
        <is>
          <t>Kirana intro offer level</t>
        </is>
      </c>
      <c r="D25" t="inlineStr">
        <is>
          <t>Not started</t>
        </is>
      </c>
      <c r="E25" t="inlineStr">
        <is>
          <t>Tinku</t>
        </is>
      </c>
      <c r="F25" t="n">
        <v>0</v>
      </c>
      <c r="H25" s="3" t="n">
        <v>46315</v>
      </c>
      <c r="I25" t="inlineStr">
        <is>
          <t>Floor price Rs155/kg toor</t>
        </is>
      </c>
    </row>
    <row r="26">
      <c r="A26" t="n">
        <v>25</v>
      </c>
      <c r="B26" t="inlineStr">
        <is>
          <t>Decision</t>
        </is>
      </c>
      <c r="C26" t="inlineStr">
        <is>
          <t>Regular GST vs composition scheme (confirm with CA)</t>
        </is>
      </c>
      <c r="D26" t="inlineStr">
        <is>
          <t>Not started</t>
        </is>
      </c>
      <c r="E26" t="inlineStr">
        <is>
          <t>Tinku</t>
        </is>
      </c>
      <c r="F26" t="n">
        <v>0</v>
      </c>
      <c r="H26" s="3" t="n">
        <v>46315</v>
      </c>
      <c r="I26" t="inlineStr">
        <is>
          <t>Accounts recommends Regular for quick-commerce</t>
        </is>
      </c>
    </row>
    <row r="27">
      <c r="C27" t="inlineStr">
        <is>
          <t>TOTAL</t>
        </is>
      </c>
      <c r="F27">
        <f>SUM(F2:F26)</f>
        <v/>
      </c>
      <c r="G27">
        <f>SUM(G2:G26)</f>
        <v/>
      </c>
    </row>
  </sheetData>
  <dataValidations count="1">
    <dataValidation sqref="D2:D21" showDropDown="0" showInputMessage="0" showErrorMessage="0" allowBlank="0" type="list">
      <formula1>"Not started,In progress,Done,Blocked"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Head</t>
        </is>
      </c>
      <c r="B1" s="1" t="inlineStr">
        <is>
          <t>Planned ₹</t>
        </is>
      </c>
      <c r="C1" s="1" t="inlineStr">
        <is>
          <t>Actual ₹</t>
        </is>
      </c>
      <c r="D1" s="1" t="inlineStr">
        <is>
          <t>Variance ₹</t>
        </is>
      </c>
      <c r="E1" s="1" t="inlineStr">
        <is>
          <t>Notes</t>
        </is>
      </c>
    </row>
    <row r="2">
      <c r="A2" t="inlineStr">
        <is>
          <t>Initial stock (~400 kg mixed pulses @ ~₹115/kg)</t>
        </is>
      </c>
      <c r="B2" t="n">
        <v>45000</v>
      </c>
      <c r="D2">
        <f>B2-C2</f>
        <v/>
      </c>
      <c r="E2" t="inlineStr">
        <is>
          <t>4 SKUs x 2 sizes; small lots from APMC</t>
        </is>
      </c>
    </row>
    <row r="3">
      <c r="A3" t="inlineStr">
        <is>
          <t>Packing pouches &amp; labels (MOQ printed laminate/stickers)</t>
        </is>
      </c>
      <c r="B3" t="n">
        <v>12000</v>
      </c>
      <c r="D3">
        <f>B3-C3</f>
        <v/>
      </c>
      <c r="E3" t="inlineStr">
        <is>
          <t>Start with stock pouch + printed sticker to cut MOQ</t>
        </is>
      </c>
    </row>
    <row r="4">
      <c r="A4" t="inlineStr">
        <is>
          <t>Repacking + transport (first 2 runs)</t>
        </is>
      </c>
      <c r="B4" t="n">
        <v>5000</v>
      </c>
      <c r="D4">
        <f>B4-C4</f>
        <v/>
      </c>
    </row>
    <row r="5">
      <c r="A5" t="inlineStr">
        <is>
          <t>Branding: logo, label design, Legal Metrology-compliant label</t>
        </is>
      </c>
      <c r="B5" t="n">
        <v>7000</v>
      </c>
      <c r="D5">
        <f>B5-C5</f>
        <v/>
      </c>
    </row>
    <row r="6">
      <c r="A6" t="inlineStr">
        <is>
          <t>GS1 barcodes (EAN) registration</t>
        </is>
      </c>
      <c r="B6" t="n">
        <v>0</v>
      </c>
      <c r="D6">
        <f>B6-C6</f>
        <v/>
      </c>
      <c r="E6" t="inlineStr">
        <is>
          <t>Deferred: GS1 is about Rs 50,200; try Blinkit exception code first</t>
        </is>
      </c>
    </row>
    <row r="7">
      <c r="A7" t="inlineStr">
        <is>
          <t>Trademark application (TM-A, individual/startup)</t>
        </is>
      </c>
      <c r="B7" t="n">
        <v>4500</v>
      </c>
      <c r="D7">
        <f>B7-C7</f>
        <v/>
      </c>
      <c r="E7" t="inlineStr">
        <is>
          <t>₹4,500 govt fee for e-filing by individual/startup</t>
        </is>
      </c>
    </row>
    <row r="8">
      <c r="A8" t="inlineStr">
        <is>
          <t>Platform onboarding, photos, catalogue, lab test report</t>
        </is>
      </c>
      <c r="B8" t="n">
        <v>8000</v>
      </c>
      <c r="D8">
        <f>B8-C8</f>
        <v/>
      </c>
      <c r="E8" t="inlineStr">
        <is>
          <t>NABL test report often requested</t>
        </is>
      </c>
    </row>
    <row r="9">
      <c r="A9" t="inlineStr">
        <is>
          <t>Kirana/line-supplier samples &amp; local marketing</t>
        </is>
      </c>
      <c r="B9" t="n">
        <v>4500</v>
      </c>
      <c r="D9">
        <f>B9-C9</f>
        <v/>
      </c>
    </row>
    <row r="10">
      <c r="A10" t="inlineStr">
        <is>
          <t>Buffer/working capital (platform payouts lag 7-30 days)</t>
        </is>
      </c>
      <c r="B10" t="n">
        <v>8000</v>
      </c>
      <c r="D10">
        <f>B10-C10</f>
        <v/>
      </c>
    </row>
    <row r="11">
      <c r="A11" t="inlineStr">
        <is>
          <t>TOTAL</t>
        </is>
      </c>
      <c r="B11">
        <f>SUM(B2:B10)</f>
        <v/>
      </c>
      <c r="C11">
        <f>SUM(C2:C10)</f>
        <v/>
      </c>
      <c r="D11">
        <f>B11-C11</f>
        <v/>
      </c>
    </row>
    <row r="12">
      <c r="A12" t="inlineStr">
        <is>
          <t>Available capital</t>
        </is>
      </c>
      <c r="B12" t="n">
        <v>100000</v>
      </c>
      <c r="D12">
        <f>B12-C11</f>
        <v/>
      </c>
      <c r="E12" t="inlineStr">
        <is>
          <t>Remaining cash = capital - actual spend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Date</t>
        </is>
      </c>
      <c r="B1" s="1" t="inlineStr">
        <is>
          <t>Type (Purchase/Sale/Expense)</t>
        </is>
      </c>
      <c r="C1" s="1" t="inlineStr">
        <is>
          <t>Party</t>
        </is>
      </c>
      <c r="D1" s="1" t="inlineStr">
        <is>
          <t>Item</t>
        </is>
      </c>
      <c r="E1" s="1" t="inlineStr">
        <is>
          <t>Qty (kg/pcs)</t>
        </is>
      </c>
      <c r="F1" s="1" t="inlineStr">
        <is>
          <t>Rate ₹</t>
        </is>
      </c>
      <c r="G1" s="1" t="inlineStr">
        <is>
          <t>Taxable ₹</t>
        </is>
      </c>
      <c r="H1" s="1" t="inlineStr">
        <is>
          <t>GST %</t>
        </is>
      </c>
      <c r="I1" s="1" t="inlineStr">
        <is>
          <t>GST ₹</t>
        </is>
      </c>
      <c r="J1" s="1" t="inlineStr">
        <is>
          <t>Total ₹</t>
        </is>
      </c>
      <c r="K1" s="1" t="inlineStr">
        <is>
          <t>Payment mode</t>
        </is>
      </c>
      <c r="L1" s="1" t="inlineStr">
        <is>
          <t>Invoice no.</t>
        </is>
      </c>
    </row>
    <row r="2">
      <c r="G2">
        <f>IF(E2="","",E2*F2)</f>
        <v/>
      </c>
      <c r="I2">
        <f>IF(G2="","",G2*H2)</f>
        <v/>
      </c>
      <c r="J2">
        <f>IF(G2="","",G2+I2)</f>
        <v/>
      </c>
    </row>
    <row r="3">
      <c r="G3">
        <f>IF(E3="","",E3*F3)</f>
        <v/>
      </c>
      <c r="I3">
        <f>IF(G3="","",G3*H3)</f>
        <v/>
      </c>
      <c r="J3">
        <f>IF(G3="","",G3+I3)</f>
        <v/>
      </c>
    </row>
    <row r="4">
      <c r="G4">
        <f>IF(E4="","",E4*F4)</f>
        <v/>
      </c>
      <c r="I4">
        <f>IF(G4="","",G4*H4)</f>
        <v/>
      </c>
      <c r="J4">
        <f>IF(G4="","",G4+I4)</f>
        <v/>
      </c>
    </row>
    <row r="5">
      <c r="G5">
        <f>IF(E5="","",E5*F5)</f>
        <v/>
      </c>
      <c r="I5">
        <f>IF(G5="","",G5*H5)</f>
        <v/>
      </c>
      <c r="J5">
        <f>IF(G5="","",G5+I5)</f>
        <v/>
      </c>
    </row>
    <row r="6">
      <c r="G6">
        <f>IF(E6="","",E6*F6)</f>
        <v/>
      </c>
      <c r="I6">
        <f>IF(G6="","",G6*H6)</f>
        <v/>
      </c>
      <c r="J6">
        <f>IF(G6="","",G6+I6)</f>
        <v/>
      </c>
    </row>
    <row r="7">
      <c r="G7">
        <f>IF(E7="","",E7*F7)</f>
        <v/>
      </c>
      <c r="I7">
        <f>IF(G7="","",G7*H7)</f>
        <v/>
      </c>
      <c r="J7">
        <f>IF(G7="","",G7+I7)</f>
        <v/>
      </c>
    </row>
    <row r="8">
      <c r="G8">
        <f>IF(E8="","",E8*F8)</f>
        <v/>
      </c>
      <c r="I8">
        <f>IF(G8="","",G8*H8)</f>
        <v/>
      </c>
      <c r="J8">
        <f>IF(G8="","",G8+I8)</f>
        <v/>
      </c>
    </row>
    <row r="9">
      <c r="G9">
        <f>IF(E9="","",E9*F9)</f>
        <v/>
      </c>
      <c r="I9">
        <f>IF(G9="","",G9*H9)</f>
        <v/>
      </c>
      <c r="J9">
        <f>IF(G9="","",G9+I9)</f>
        <v/>
      </c>
    </row>
    <row r="10">
      <c r="G10">
        <f>IF(E10="","",E10*F10)</f>
        <v/>
      </c>
      <c r="I10">
        <f>IF(G10="","",G10*H10)</f>
        <v/>
      </c>
      <c r="J10">
        <f>IF(G10="","",G10+I10)</f>
        <v/>
      </c>
    </row>
    <row r="11">
      <c r="G11">
        <f>IF(E11="","",E11*F11)</f>
        <v/>
      </c>
      <c r="I11">
        <f>IF(G11="","",G11*H11)</f>
        <v/>
      </c>
      <c r="J11">
        <f>IF(G11="","",G11+I11)</f>
        <v/>
      </c>
    </row>
    <row r="12">
      <c r="G12">
        <f>IF(E12="","",E12*F12)</f>
        <v/>
      </c>
      <c r="I12">
        <f>IF(G12="","",G12*H12)</f>
        <v/>
      </c>
      <c r="J12">
        <f>IF(G12="","",G12+I12)</f>
        <v/>
      </c>
    </row>
    <row r="13">
      <c r="G13">
        <f>IF(E13="","",E13*F13)</f>
        <v/>
      </c>
      <c r="I13">
        <f>IF(G13="","",G13*H13)</f>
        <v/>
      </c>
      <c r="J13">
        <f>IF(G13="","",G13+I13)</f>
        <v/>
      </c>
    </row>
    <row r="14">
      <c r="G14">
        <f>IF(E14="","",E14*F14)</f>
        <v/>
      </c>
      <c r="I14">
        <f>IF(G14="","",G14*H14)</f>
        <v/>
      </c>
      <c r="J14">
        <f>IF(G14="","",G14+I14)</f>
        <v/>
      </c>
    </row>
    <row r="15">
      <c r="G15">
        <f>IF(E15="","",E15*F15)</f>
        <v/>
      </c>
      <c r="I15">
        <f>IF(G15="","",G15*H15)</f>
        <v/>
      </c>
      <c r="J15">
        <f>IF(G15="","",G15+I15)</f>
        <v/>
      </c>
    </row>
    <row r="16">
      <c r="G16">
        <f>IF(E16="","",E16*F16)</f>
        <v/>
      </c>
      <c r="I16">
        <f>IF(G16="","",G16*H16)</f>
        <v/>
      </c>
      <c r="J16">
        <f>IF(G16="","",G16+I16)</f>
        <v/>
      </c>
    </row>
    <row r="17">
      <c r="G17">
        <f>IF(E17="","",E17*F17)</f>
        <v/>
      </c>
      <c r="I17">
        <f>IF(G17="","",G17*H17)</f>
        <v/>
      </c>
      <c r="J17">
        <f>IF(G17="","",G17+I17)</f>
        <v/>
      </c>
    </row>
    <row r="18">
      <c r="G18">
        <f>IF(E18="","",E18*F18)</f>
        <v/>
      </c>
      <c r="I18">
        <f>IF(G18="","",G18*H18)</f>
        <v/>
      </c>
      <c r="J18">
        <f>IF(G18="","",G18+I18)</f>
        <v/>
      </c>
    </row>
    <row r="19">
      <c r="G19">
        <f>IF(E19="","",E19*F19)</f>
        <v/>
      </c>
      <c r="I19">
        <f>IF(G19="","",G19*H19)</f>
        <v/>
      </c>
      <c r="J19">
        <f>IF(G19="","",G19+I19)</f>
        <v/>
      </c>
    </row>
    <row r="20">
      <c r="G20">
        <f>IF(E20="","",E20*F20)</f>
        <v/>
      </c>
      <c r="I20">
        <f>IF(G20="","",G20*H20)</f>
        <v/>
      </c>
      <c r="J20">
        <f>IF(G20="","",G20+I20)</f>
        <v/>
      </c>
    </row>
    <row r="21">
      <c r="G21">
        <f>IF(E21="","",E21*F21)</f>
        <v/>
      </c>
      <c r="I21">
        <f>IF(G21="","",G21*H21)</f>
        <v/>
      </c>
      <c r="J21">
        <f>IF(G21="","",G21+I21)</f>
        <v/>
      </c>
    </row>
    <row r="22">
      <c r="G22">
        <f>IF(E22="","",E22*F22)</f>
        <v/>
      </c>
      <c r="I22">
        <f>IF(G22="","",G22*H22)</f>
        <v/>
      </c>
      <c r="J22">
        <f>IF(G22="","",G22+I22)</f>
        <v/>
      </c>
    </row>
    <row r="23">
      <c r="G23">
        <f>IF(E23="","",E23*F23)</f>
        <v/>
      </c>
      <c r="I23">
        <f>IF(G23="","",G23*H23)</f>
        <v/>
      </c>
      <c r="J23">
        <f>IF(G23="","",G23+I23)</f>
        <v/>
      </c>
    </row>
    <row r="24">
      <c r="G24">
        <f>IF(E24="","",E24*F24)</f>
        <v/>
      </c>
      <c r="I24">
        <f>IF(G24="","",G24*H24)</f>
        <v/>
      </c>
      <c r="J24">
        <f>IF(G24="","",G24+I24)</f>
        <v/>
      </c>
    </row>
    <row r="25">
      <c r="G25">
        <f>IF(E25="","",E25*F25)</f>
        <v/>
      </c>
      <c r="I25">
        <f>IF(G25="","",G25*H25)</f>
        <v/>
      </c>
      <c r="J25">
        <f>IF(G25="","",G25+I25)</f>
        <v/>
      </c>
    </row>
    <row r="26">
      <c r="G26">
        <f>IF(E26="","",E26*F26)</f>
        <v/>
      </c>
      <c r="I26">
        <f>IF(G26="","",G26*H26)</f>
        <v/>
      </c>
      <c r="J26">
        <f>IF(G26="","",G26+I26)</f>
        <v/>
      </c>
    </row>
    <row r="27">
      <c r="G27">
        <f>IF(E27="","",E27*F27)</f>
        <v/>
      </c>
      <c r="I27">
        <f>IF(G27="","",G27*H27)</f>
        <v/>
      </c>
      <c r="J27">
        <f>IF(G27="","",G27+I27)</f>
        <v/>
      </c>
    </row>
    <row r="28">
      <c r="G28">
        <f>IF(E28="","",E28*F28)</f>
        <v/>
      </c>
      <c r="I28">
        <f>IF(G28="","",G28*H28)</f>
        <v/>
      </c>
      <c r="J28">
        <f>IF(G28="","",G28+I28)</f>
        <v/>
      </c>
    </row>
    <row r="29">
      <c r="G29">
        <f>IF(E29="","",E29*F29)</f>
        <v/>
      </c>
      <c r="I29">
        <f>IF(G29="","",G29*H29)</f>
        <v/>
      </c>
      <c r="J29">
        <f>IF(G29="","",G29+I29)</f>
        <v/>
      </c>
    </row>
    <row r="30">
      <c r="G30">
        <f>IF(E30="","",E30*F30)</f>
        <v/>
      </c>
      <c r="I30">
        <f>IF(G30="","",G30*H30)</f>
        <v/>
      </c>
      <c r="J30">
        <f>IF(G30="","",G30+I30)</f>
        <v/>
      </c>
    </row>
    <row r="31">
      <c r="G31">
        <f>IF(E31="","",E31*F31)</f>
        <v/>
      </c>
      <c r="I31">
        <f>IF(G31="","",G31*H31)</f>
        <v/>
      </c>
      <c r="J31">
        <f>IF(G31="","",G31+I31)</f>
        <v/>
      </c>
    </row>
    <row r="32">
      <c r="G32">
        <f>IF(E32="","",E32*F32)</f>
        <v/>
      </c>
      <c r="I32">
        <f>IF(G32="","",G32*H32)</f>
        <v/>
      </c>
      <c r="J32">
        <f>IF(G32="","",G32+I32)</f>
        <v/>
      </c>
    </row>
    <row r="33">
      <c r="G33">
        <f>IF(E33="","",E33*F33)</f>
        <v/>
      </c>
      <c r="I33">
        <f>IF(G33="","",G33*H33)</f>
        <v/>
      </c>
      <c r="J33">
        <f>IF(G33="","",G33+I33)</f>
        <v/>
      </c>
    </row>
    <row r="34">
      <c r="G34">
        <f>IF(E34="","",E34*F34)</f>
        <v/>
      </c>
      <c r="I34">
        <f>IF(G34="","",G34*H34)</f>
        <v/>
      </c>
      <c r="J34">
        <f>IF(G34="","",G34+I34)</f>
        <v/>
      </c>
    </row>
    <row r="35">
      <c r="G35">
        <f>IF(E35="","",E35*F35)</f>
        <v/>
      </c>
      <c r="I35">
        <f>IF(G35="","",G35*H35)</f>
        <v/>
      </c>
      <c r="J35">
        <f>IF(G35="","",G35+I35)</f>
        <v/>
      </c>
    </row>
    <row r="36">
      <c r="G36">
        <f>IF(E36="","",E36*F36)</f>
        <v/>
      </c>
      <c r="I36">
        <f>IF(G36="","",G36*H36)</f>
        <v/>
      </c>
      <c r="J36">
        <f>IF(G36="","",G36+I36)</f>
        <v/>
      </c>
    </row>
    <row r="37">
      <c r="G37">
        <f>IF(E37="","",E37*F37)</f>
        <v/>
      </c>
      <c r="I37">
        <f>IF(G37="","",G37*H37)</f>
        <v/>
      </c>
      <c r="J37">
        <f>IF(G37="","",G37+I37)</f>
        <v/>
      </c>
    </row>
    <row r="38">
      <c r="G38">
        <f>IF(E38="","",E38*F38)</f>
        <v/>
      </c>
      <c r="I38">
        <f>IF(G38="","",G38*H38)</f>
        <v/>
      </c>
      <c r="J38">
        <f>IF(G38="","",G38+I38)</f>
        <v/>
      </c>
    </row>
    <row r="39">
      <c r="G39">
        <f>IF(E39="","",E39*F39)</f>
        <v/>
      </c>
      <c r="I39">
        <f>IF(G39="","",G39*H39)</f>
        <v/>
      </c>
      <c r="J39">
        <f>IF(G39="","",G39+I39)</f>
        <v/>
      </c>
    </row>
    <row r="40">
      <c r="G40">
        <f>IF(E40="","",E40*F40)</f>
        <v/>
      </c>
      <c r="I40">
        <f>IF(G40="","",G40*H40)</f>
        <v/>
      </c>
      <c r="J40">
        <f>IF(G40="","",G40+I40)</f>
        <v/>
      </c>
    </row>
    <row r="41">
      <c r="G41">
        <f>IF(E41="","",E41*F41)</f>
        <v/>
      </c>
      <c r="I41">
        <f>IF(G41="","",G41*H41)</f>
        <v/>
      </c>
      <c r="J41">
        <f>IF(G41="","",G41+I41)</f>
        <v/>
      </c>
    </row>
    <row r="42">
      <c r="G42">
        <f>IF(E42="","",E42*F42)</f>
        <v/>
      </c>
      <c r="I42">
        <f>IF(G42="","",G42*H42)</f>
        <v/>
      </c>
      <c r="J42">
        <f>IF(G42="","",G42+I42)</f>
        <v/>
      </c>
    </row>
    <row r="43">
      <c r="G43">
        <f>IF(E43="","",E43*F43)</f>
        <v/>
      </c>
      <c r="I43">
        <f>IF(G43="","",G43*H43)</f>
        <v/>
      </c>
      <c r="J43">
        <f>IF(G43="","",G43+I43)</f>
        <v/>
      </c>
    </row>
    <row r="44">
      <c r="G44">
        <f>IF(E44="","",E44*F44)</f>
        <v/>
      </c>
      <c r="I44">
        <f>IF(G44="","",G44*H44)</f>
        <v/>
      </c>
      <c r="J44">
        <f>IF(G44="","",G44+I44)</f>
        <v/>
      </c>
    </row>
    <row r="45">
      <c r="G45">
        <f>IF(E45="","",E45*F45)</f>
        <v/>
      </c>
      <c r="I45">
        <f>IF(G45="","",G45*H45)</f>
        <v/>
      </c>
      <c r="J45">
        <f>IF(G45="","",G45+I45)</f>
        <v/>
      </c>
    </row>
    <row r="46">
      <c r="G46">
        <f>IF(E46="","",E46*F46)</f>
        <v/>
      </c>
      <c r="I46">
        <f>IF(G46="","",G46*H46)</f>
        <v/>
      </c>
      <c r="J46">
        <f>IF(G46="","",G46+I46)</f>
        <v/>
      </c>
    </row>
    <row r="47">
      <c r="G47">
        <f>IF(E47="","",E47*F47)</f>
        <v/>
      </c>
      <c r="I47">
        <f>IF(G47="","",G47*H47)</f>
        <v/>
      </c>
      <c r="J47">
        <f>IF(G47="","",G47+I47)</f>
        <v/>
      </c>
    </row>
    <row r="48">
      <c r="G48">
        <f>IF(E48="","",E48*F48)</f>
        <v/>
      </c>
      <c r="I48">
        <f>IF(G48="","",G48*H48)</f>
        <v/>
      </c>
      <c r="J48">
        <f>IF(G48="","",G48+I48)</f>
        <v/>
      </c>
    </row>
    <row r="49">
      <c r="G49">
        <f>IF(E49="","",E49*F49)</f>
        <v/>
      </c>
      <c r="I49">
        <f>IF(G49="","",G49*H49)</f>
        <v/>
      </c>
      <c r="J49">
        <f>IF(G49="","",G49+I49)</f>
        <v/>
      </c>
    </row>
    <row r="50">
      <c r="G50">
        <f>IF(E50="","",E50*F50)</f>
        <v/>
      </c>
      <c r="I50">
        <f>IF(G50="","",G50*H50)</f>
        <v/>
      </c>
      <c r="J50">
        <f>IF(G50="","",G50+I50)</f>
        <v/>
      </c>
    </row>
    <row r="51">
      <c r="G51">
        <f>IF(E51="","",E51*F51)</f>
        <v/>
      </c>
      <c r="I51">
        <f>IF(G51="","",G51*H51)</f>
        <v/>
      </c>
      <c r="J51">
        <f>IF(G51="","",G51+I51)</f>
        <v/>
      </c>
    </row>
    <row r="52">
      <c r="G52">
        <f>IF(E52="","",E52*F52)</f>
        <v/>
      </c>
      <c r="I52">
        <f>IF(G52="","",G52*H52)</f>
        <v/>
      </c>
      <c r="J52">
        <f>IF(G52="","",G52+I52)</f>
        <v/>
      </c>
    </row>
    <row r="53">
      <c r="G53">
        <f>IF(E53="","",E53*F53)</f>
        <v/>
      </c>
      <c r="I53">
        <f>IF(G53="","",G53*H53)</f>
        <v/>
      </c>
      <c r="J53">
        <f>IF(G53="","",G53+I53)</f>
        <v/>
      </c>
    </row>
    <row r="54">
      <c r="G54">
        <f>IF(E54="","",E54*F54)</f>
        <v/>
      </c>
      <c r="I54">
        <f>IF(G54="","",G54*H54)</f>
        <v/>
      </c>
      <c r="J54">
        <f>IF(G54="","",G54+I54)</f>
        <v/>
      </c>
    </row>
    <row r="55">
      <c r="G55">
        <f>IF(E55="","",E55*F55)</f>
        <v/>
      </c>
      <c r="I55">
        <f>IF(G55="","",G55*H55)</f>
        <v/>
      </c>
      <c r="J55">
        <f>IF(G55="","",G55+I55)</f>
        <v/>
      </c>
    </row>
    <row r="56">
      <c r="G56">
        <f>IF(E56="","",E56*F56)</f>
        <v/>
      </c>
      <c r="I56">
        <f>IF(G56="","",G56*H56)</f>
        <v/>
      </c>
      <c r="J56">
        <f>IF(G56="","",G56+I56)</f>
        <v/>
      </c>
    </row>
    <row r="57">
      <c r="G57">
        <f>IF(E57="","",E57*F57)</f>
        <v/>
      </c>
      <c r="I57">
        <f>IF(G57="","",G57*H57)</f>
        <v/>
      </c>
      <c r="J57">
        <f>IF(G57="","",G57+I57)</f>
        <v/>
      </c>
    </row>
    <row r="58">
      <c r="G58">
        <f>IF(E58="","",E58*F58)</f>
        <v/>
      </c>
      <c r="I58">
        <f>IF(G58="","",G58*H58)</f>
        <v/>
      </c>
      <c r="J58">
        <f>IF(G58="","",G58+I58)</f>
        <v/>
      </c>
    </row>
    <row r="59">
      <c r="G59">
        <f>IF(E59="","",E59*F59)</f>
        <v/>
      </c>
      <c r="I59">
        <f>IF(G59="","",G59*H59)</f>
        <v/>
      </c>
      <c r="J59">
        <f>IF(G59="","",G59+I59)</f>
        <v/>
      </c>
    </row>
    <row r="60">
      <c r="G60">
        <f>IF(E60="","",E60*F60)</f>
        <v/>
      </c>
      <c r="I60">
        <f>IF(G60="","",G60*H60)</f>
        <v/>
      </c>
      <c r="J60">
        <f>IF(G60="","",G60+I60)</f>
        <v/>
      </c>
    </row>
    <row r="61">
      <c r="G61">
        <f>IF(E61="","",E61*F61)</f>
        <v/>
      </c>
      <c r="I61">
        <f>IF(G61="","",G61*H61)</f>
        <v/>
      </c>
      <c r="J61">
        <f>IF(G61="","",G61+I61)</f>
        <v/>
      </c>
    </row>
    <row r="62">
      <c r="G62">
        <f>IF(E62="","",E62*F62)</f>
        <v/>
      </c>
      <c r="I62">
        <f>IF(G62="","",G62*H62)</f>
        <v/>
      </c>
      <c r="J62">
        <f>IF(G62="","",G62+I62)</f>
        <v/>
      </c>
    </row>
    <row r="63">
      <c r="G63">
        <f>IF(E63="","",E63*F63)</f>
        <v/>
      </c>
      <c r="I63">
        <f>IF(G63="","",G63*H63)</f>
        <v/>
      </c>
      <c r="J63">
        <f>IF(G63="","",G63+I63)</f>
        <v/>
      </c>
    </row>
    <row r="64">
      <c r="G64">
        <f>IF(E64="","",E64*F64)</f>
        <v/>
      </c>
      <c r="I64">
        <f>IF(G64="","",G64*H64)</f>
        <v/>
      </c>
      <c r="J64">
        <f>IF(G64="","",G64+I64)</f>
        <v/>
      </c>
    </row>
    <row r="65">
      <c r="G65">
        <f>IF(E65="","",E65*F65)</f>
        <v/>
      </c>
      <c r="I65">
        <f>IF(G65="","",G65*H65)</f>
        <v/>
      </c>
      <c r="J65">
        <f>IF(G65="","",G65+I65)</f>
        <v/>
      </c>
    </row>
    <row r="66">
      <c r="G66">
        <f>IF(E66="","",E66*F66)</f>
        <v/>
      </c>
      <c r="I66">
        <f>IF(G66="","",G66*H66)</f>
        <v/>
      </c>
      <c r="J66">
        <f>IF(G66="","",G66+I66)</f>
        <v/>
      </c>
    </row>
    <row r="67">
      <c r="G67">
        <f>IF(E67="","",E67*F67)</f>
        <v/>
      </c>
      <c r="I67">
        <f>IF(G67="","",G67*H67)</f>
        <v/>
      </c>
      <c r="J67">
        <f>IF(G67="","",G67+I67)</f>
        <v/>
      </c>
    </row>
    <row r="68">
      <c r="G68">
        <f>IF(E68="","",E68*F68)</f>
        <v/>
      </c>
      <c r="I68">
        <f>IF(G68="","",G68*H68)</f>
        <v/>
      </c>
      <c r="J68">
        <f>IF(G68="","",G68+I68)</f>
        <v/>
      </c>
    </row>
    <row r="69">
      <c r="G69">
        <f>IF(E69="","",E69*F69)</f>
        <v/>
      </c>
      <c r="I69">
        <f>IF(G69="","",G69*H69)</f>
        <v/>
      </c>
      <c r="J69">
        <f>IF(G69="","",G69+I69)</f>
        <v/>
      </c>
    </row>
    <row r="70">
      <c r="G70">
        <f>IF(E70="","",E70*F70)</f>
        <v/>
      </c>
      <c r="I70">
        <f>IF(G70="","",G70*H70)</f>
        <v/>
      </c>
      <c r="J70">
        <f>IF(G70="","",G70+I70)</f>
        <v/>
      </c>
    </row>
    <row r="71">
      <c r="G71">
        <f>IF(E71="","",E71*F71)</f>
        <v/>
      </c>
      <c r="I71">
        <f>IF(G71="","",G71*H71)</f>
        <v/>
      </c>
      <c r="J71">
        <f>IF(G71="","",G71+I71)</f>
        <v/>
      </c>
    </row>
    <row r="72">
      <c r="G72">
        <f>IF(E72="","",E72*F72)</f>
        <v/>
      </c>
      <c r="I72">
        <f>IF(G72="","",G72*H72)</f>
        <v/>
      </c>
      <c r="J72">
        <f>IF(G72="","",G72+I72)</f>
        <v/>
      </c>
    </row>
    <row r="73">
      <c r="G73">
        <f>IF(E73="","",E73*F73)</f>
        <v/>
      </c>
      <c r="I73">
        <f>IF(G73="","",G73*H73)</f>
        <v/>
      </c>
      <c r="J73">
        <f>IF(G73="","",G73+I73)</f>
        <v/>
      </c>
    </row>
    <row r="74">
      <c r="G74">
        <f>IF(E74="","",E74*F74)</f>
        <v/>
      </c>
      <c r="I74">
        <f>IF(G74="","",G74*H74)</f>
        <v/>
      </c>
      <c r="J74">
        <f>IF(G74="","",G74+I74)</f>
        <v/>
      </c>
    </row>
    <row r="75">
      <c r="G75">
        <f>IF(E75="","",E75*F75)</f>
        <v/>
      </c>
      <c r="I75">
        <f>IF(G75="","",G75*H75)</f>
        <v/>
      </c>
      <c r="J75">
        <f>IF(G75="","",G75+I75)</f>
        <v/>
      </c>
    </row>
    <row r="76">
      <c r="G76">
        <f>IF(E76="","",E76*F76)</f>
        <v/>
      </c>
      <c r="I76">
        <f>IF(G76="","",G76*H76)</f>
        <v/>
      </c>
      <c r="J76">
        <f>IF(G76="","",G76+I76)</f>
        <v/>
      </c>
    </row>
    <row r="77">
      <c r="G77">
        <f>IF(E77="","",E77*F77)</f>
        <v/>
      </c>
      <c r="I77">
        <f>IF(G77="","",G77*H77)</f>
        <v/>
      </c>
      <c r="J77">
        <f>IF(G77="","",G77+I77)</f>
        <v/>
      </c>
    </row>
    <row r="78">
      <c r="G78">
        <f>IF(E78="","",E78*F78)</f>
        <v/>
      </c>
      <c r="I78">
        <f>IF(G78="","",G78*H78)</f>
        <v/>
      </c>
      <c r="J78">
        <f>IF(G78="","",G78+I78)</f>
        <v/>
      </c>
    </row>
    <row r="79">
      <c r="G79">
        <f>IF(E79="","",E79*F79)</f>
        <v/>
      </c>
      <c r="I79">
        <f>IF(G79="","",G79*H79)</f>
        <v/>
      </c>
      <c r="J79">
        <f>IF(G79="","",G79+I79)</f>
        <v/>
      </c>
    </row>
    <row r="80">
      <c r="G80">
        <f>IF(E80="","",E80*F80)</f>
        <v/>
      </c>
      <c r="I80">
        <f>IF(G80="","",G80*H80)</f>
        <v/>
      </c>
      <c r="J80">
        <f>IF(G80="","",G80+I80)</f>
        <v/>
      </c>
    </row>
    <row r="81">
      <c r="G81">
        <f>IF(E81="","",E81*F81)</f>
        <v/>
      </c>
      <c r="I81">
        <f>IF(G81="","",G81*H81)</f>
        <v/>
      </c>
      <c r="J81">
        <f>IF(G81="","",G81+I81)</f>
        <v/>
      </c>
    </row>
    <row r="82">
      <c r="G82">
        <f>IF(E82="","",E82*F82)</f>
        <v/>
      </c>
      <c r="I82">
        <f>IF(G82="","",G82*H82)</f>
        <v/>
      </c>
      <c r="J82">
        <f>IF(G82="","",G82+I82)</f>
        <v/>
      </c>
    </row>
    <row r="83">
      <c r="G83">
        <f>IF(E83="","",E83*F83)</f>
        <v/>
      </c>
      <c r="I83">
        <f>IF(G83="","",G83*H83)</f>
        <v/>
      </c>
      <c r="J83">
        <f>IF(G83="","",G83+I83)</f>
        <v/>
      </c>
    </row>
    <row r="84">
      <c r="G84">
        <f>IF(E84="","",E84*F84)</f>
        <v/>
      </c>
      <c r="I84">
        <f>IF(G84="","",G84*H84)</f>
        <v/>
      </c>
      <c r="J84">
        <f>IF(G84="","",G84+I84)</f>
        <v/>
      </c>
    </row>
    <row r="85">
      <c r="G85">
        <f>IF(E85="","",E85*F85)</f>
        <v/>
      </c>
      <c r="I85">
        <f>IF(G85="","",G85*H85)</f>
        <v/>
      </c>
      <c r="J85">
        <f>IF(G85="","",G85+I85)</f>
        <v/>
      </c>
    </row>
    <row r="86">
      <c r="G86">
        <f>IF(E86="","",E86*F86)</f>
        <v/>
      </c>
      <c r="I86">
        <f>IF(G86="","",G86*H86)</f>
        <v/>
      </c>
      <c r="J86">
        <f>IF(G86="","",G86+I86)</f>
        <v/>
      </c>
    </row>
    <row r="87">
      <c r="G87">
        <f>IF(E87="","",E87*F87)</f>
        <v/>
      </c>
      <c r="I87">
        <f>IF(G87="","",G87*H87)</f>
        <v/>
      </c>
      <c r="J87">
        <f>IF(G87="","",G87+I87)</f>
        <v/>
      </c>
    </row>
    <row r="88">
      <c r="G88">
        <f>IF(E88="","",E88*F88)</f>
        <v/>
      </c>
      <c r="I88">
        <f>IF(G88="","",G88*H88)</f>
        <v/>
      </c>
      <c r="J88">
        <f>IF(G88="","",G88+I88)</f>
        <v/>
      </c>
    </row>
    <row r="89">
      <c r="G89">
        <f>IF(E89="","",E89*F89)</f>
        <v/>
      </c>
      <c r="I89">
        <f>IF(G89="","",G89*H89)</f>
        <v/>
      </c>
      <c r="J89">
        <f>IF(G89="","",G89+I89)</f>
        <v/>
      </c>
    </row>
    <row r="90">
      <c r="G90">
        <f>IF(E90="","",E90*F90)</f>
        <v/>
      </c>
      <c r="I90">
        <f>IF(G90="","",G90*H90)</f>
        <v/>
      </c>
      <c r="J90">
        <f>IF(G90="","",G90+I90)</f>
        <v/>
      </c>
    </row>
    <row r="91">
      <c r="G91">
        <f>IF(E91="","",E91*F91)</f>
        <v/>
      </c>
      <c r="I91">
        <f>IF(G91="","",G91*H91)</f>
        <v/>
      </c>
      <c r="J91">
        <f>IF(G91="","",G91+I91)</f>
        <v/>
      </c>
    </row>
    <row r="92">
      <c r="G92">
        <f>IF(E92="","",E92*F92)</f>
        <v/>
      </c>
      <c r="I92">
        <f>IF(G92="","",G92*H92)</f>
        <v/>
      </c>
      <c r="J92">
        <f>IF(G92="","",G92+I92)</f>
        <v/>
      </c>
    </row>
    <row r="93">
      <c r="G93">
        <f>IF(E93="","",E93*F93)</f>
        <v/>
      </c>
      <c r="I93">
        <f>IF(G93="","",G93*H93)</f>
        <v/>
      </c>
      <c r="J93">
        <f>IF(G93="","",G93+I93)</f>
        <v/>
      </c>
    </row>
    <row r="94">
      <c r="G94">
        <f>IF(E94="","",E94*F94)</f>
        <v/>
      </c>
      <c r="I94">
        <f>IF(G94="","",G94*H94)</f>
        <v/>
      </c>
      <c r="J94">
        <f>IF(G94="","",G94+I94)</f>
        <v/>
      </c>
    </row>
    <row r="95">
      <c r="G95">
        <f>IF(E95="","",E95*F95)</f>
        <v/>
      </c>
      <c r="I95">
        <f>IF(G95="","",G95*H95)</f>
        <v/>
      </c>
      <c r="J95">
        <f>IF(G95="","",G95+I95)</f>
        <v/>
      </c>
    </row>
    <row r="96">
      <c r="G96">
        <f>IF(E96="","",E96*F96)</f>
        <v/>
      </c>
      <c r="I96">
        <f>IF(G96="","",G96*H96)</f>
        <v/>
      </c>
      <c r="J96">
        <f>IF(G96="","",G96+I96)</f>
        <v/>
      </c>
    </row>
    <row r="97">
      <c r="G97">
        <f>IF(E97="","",E97*F97)</f>
        <v/>
      </c>
      <c r="I97">
        <f>IF(G97="","",G97*H97)</f>
        <v/>
      </c>
      <c r="J97">
        <f>IF(G97="","",G97+I97)</f>
        <v/>
      </c>
    </row>
    <row r="98">
      <c r="G98">
        <f>IF(E98="","",E98*F98)</f>
        <v/>
      </c>
      <c r="I98">
        <f>IF(G98="","",G98*H98)</f>
        <v/>
      </c>
      <c r="J98">
        <f>IF(G98="","",G98+I98)</f>
        <v/>
      </c>
    </row>
    <row r="99">
      <c r="G99">
        <f>IF(E99="","",E99*F99)</f>
        <v/>
      </c>
      <c r="I99">
        <f>IF(G99="","",G99*H99)</f>
        <v/>
      </c>
      <c r="J99">
        <f>IF(G99="","",G99+I99)</f>
        <v/>
      </c>
    </row>
    <row r="100">
      <c r="G100">
        <f>IF(E100="","",E100*F100)</f>
        <v/>
      </c>
      <c r="I100">
        <f>IF(G100="","",G100*H100)</f>
        <v/>
      </c>
      <c r="J100">
        <f>IF(G100="","",G100+I100)</f>
        <v/>
      </c>
    </row>
    <row r="101">
      <c r="G101">
        <f>IF(E101="","",E101*F101)</f>
        <v/>
      </c>
      <c r="I101">
        <f>IF(G101="","",G101*H101)</f>
        <v/>
      </c>
      <c r="J101">
        <f>IF(G101="","",G101+I101)</f>
        <v/>
      </c>
    </row>
    <row r="102">
      <c r="G102">
        <f>IF(E102="","",E102*F102)</f>
        <v/>
      </c>
      <c r="I102">
        <f>IF(G102="","",G102*H102)</f>
        <v/>
      </c>
      <c r="J102">
        <f>IF(G102="","",G102+I102)</f>
        <v/>
      </c>
    </row>
    <row r="103">
      <c r="G103">
        <f>IF(E103="","",E103*F103)</f>
        <v/>
      </c>
      <c r="I103">
        <f>IF(G103="","",G103*H103)</f>
        <v/>
      </c>
      <c r="J103">
        <f>IF(G103="","",G103+I103)</f>
        <v/>
      </c>
    </row>
    <row r="104">
      <c r="G104">
        <f>IF(E104="","",E104*F104)</f>
        <v/>
      </c>
      <c r="I104">
        <f>IF(G104="","",G104*H104)</f>
        <v/>
      </c>
      <c r="J104">
        <f>IF(G104="","",G104+I104)</f>
        <v/>
      </c>
    </row>
    <row r="105">
      <c r="G105">
        <f>IF(E105="","",E105*F105)</f>
        <v/>
      </c>
      <c r="I105">
        <f>IF(G105="","",G105*H105)</f>
        <v/>
      </c>
      <c r="J105">
        <f>IF(G105="","",G105+I105)</f>
        <v/>
      </c>
    </row>
    <row r="106">
      <c r="G106">
        <f>IF(E106="","",E106*F106)</f>
        <v/>
      </c>
      <c r="I106">
        <f>IF(G106="","",G106*H106)</f>
        <v/>
      </c>
      <c r="J106">
        <f>IF(G106="","",G106+I106)</f>
        <v/>
      </c>
    </row>
    <row r="107">
      <c r="G107">
        <f>IF(E107="","",E107*F107)</f>
        <v/>
      </c>
      <c r="I107">
        <f>IF(G107="","",G107*H107)</f>
        <v/>
      </c>
      <c r="J107">
        <f>IF(G107="","",G107+I107)</f>
        <v/>
      </c>
    </row>
    <row r="108">
      <c r="G108">
        <f>IF(E108="","",E108*F108)</f>
        <v/>
      </c>
      <c r="I108">
        <f>IF(G108="","",G108*H108)</f>
        <v/>
      </c>
      <c r="J108">
        <f>IF(G108="","",G108+I108)</f>
        <v/>
      </c>
    </row>
    <row r="109">
      <c r="G109">
        <f>IF(E109="","",E109*F109)</f>
        <v/>
      </c>
      <c r="I109">
        <f>IF(G109="","",G109*H109)</f>
        <v/>
      </c>
      <c r="J109">
        <f>IF(G109="","",G109+I109)</f>
        <v/>
      </c>
    </row>
    <row r="110">
      <c r="G110">
        <f>IF(E110="","",E110*F110)</f>
        <v/>
      </c>
      <c r="I110">
        <f>IF(G110="","",G110*H110)</f>
        <v/>
      </c>
      <c r="J110">
        <f>IF(G110="","",G110+I110)</f>
        <v/>
      </c>
    </row>
    <row r="111">
      <c r="G111">
        <f>IF(E111="","",E111*F111)</f>
        <v/>
      </c>
      <c r="I111">
        <f>IF(G111="","",G111*H111)</f>
        <v/>
      </c>
      <c r="J111">
        <f>IF(G111="","",G111+I111)</f>
        <v/>
      </c>
    </row>
    <row r="112">
      <c r="G112">
        <f>IF(E112="","",E112*F112)</f>
        <v/>
      </c>
      <c r="I112">
        <f>IF(G112="","",G112*H112)</f>
        <v/>
      </c>
      <c r="J112">
        <f>IF(G112="","",G112+I112)</f>
        <v/>
      </c>
    </row>
    <row r="113">
      <c r="G113">
        <f>IF(E113="","",E113*F113)</f>
        <v/>
      </c>
      <c r="I113">
        <f>IF(G113="","",G113*H113)</f>
        <v/>
      </c>
      <c r="J113">
        <f>IF(G113="","",G113+I113)</f>
        <v/>
      </c>
    </row>
    <row r="114">
      <c r="G114">
        <f>IF(E114="","",E114*F114)</f>
        <v/>
      </c>
      <c r="I114">
        <f>IF(G114="","",G114*H114)</f>
        <v/>
      </c>
      <c r="J114">
        <f>IF(G114="","",G114+I114)</f>
        <v/>
      </c>
    </row>
    <row r="115">
      <c r="G115">
        <f>IF(E115="","",E115*F115)</f>
        <v/>
      </c>
      <c r="I115">
        <f>IF(G115="","",G115*H115)</f>
        <v/>
      </c>
      <c r="J115">
        <f>IF(G115="","",G115+I115)</f>
        <v/>
      </c>
    </row>
    <row r="116">
      <c r="G116">
        <f>IF(E116="","",E116*F116)</f>
        <v/>
      </c>
      <c r="I116">
        <f>IF(G116="","",G116*H116)</f>
        <v/>
      </c>
      <c r="J116">
        <f>IF(G116="","",G116+I116)</f>
        <v/>
      </c>
    </row>
    <row r="117">
      <c r="G117">
        <f>IF(E117="","",E117*F117)</f>
        <v/>
      </c>
      <c r="I117">
        <f>IF(G117="","",G117*H117)</f>
        <v/>
      </c>
      <c r="J117">
        <f>IF(G117="","",G117+I117)</f>
        <v/>
      </c>
    </row>
    <row r="118">
      <c r="G118">
        <f>IF(E118="","",E118*F118)</f>
        <v/>
      </c>
      <c r="I118">
        <f>IF(G118="","",G118*H118)</f>
        <v/>
      </c>
      <c r="J118">
        <f>IF(G118="","",G118+I118)</f>
        <v/>
      </c>
    </row>
    <row r="119">
      <c r="G119">
        <f>IF(E119="","",E119*F119)</f>
        <v/>
      </c>
      <c r="I119">
        <f>IF(G119="","",G119*H119)</f>
        <v/>
      </c>
      <c r="J119">
        <f>IF(G119="","",G119+I119)</f>
        <v/>
      </c>
    </row>
    <row r="120">
      <c r="G120">
        <f>IF(E120="","",E120*F120)</f>
        <v/>
      </c>
      <c r="I120">
        <f>IF(G120="","",G120*H120)</f>
        <v/>
      </c>
      <c r="J120">
        <f>IF(G120="","",G120+I120)</f>
        <v/>
      </c>
    </row>
    <row r="121">
      <c r="G121">
        <f>IF(E121="","",E121*F121)</f>
        <v/>
      </c>
      <c r="I121">
        <f>IF(G121="","",G121*H121)</f>
        <v/>
      </c>
      <c r="J121">
        <f>IF(G121="","",G121+I121)</f>
        <v/>
      </c>
    </row>
    <row r="122">
      <c r="G122">
        <f>IF(E122="","",E122*F122)</f>
        <v/>
      </c>
      <c r="I122">
        <f>IF(G122="","",G122*H122)</f>
        <v/>
      </c>
      <c r="J122">
        <f>IF(G122="","",G122+I122)</f>
        <v/>
      </c>
    </row>
    <row r="123">
      <c r="G123">
        <f>IF(E123="","",E123*F123)</f>
        <v/>
      </c>
      <c r="I123">
        <f>IF(G123="","",G123*H123)</f>
        <v/>
      </c>
      <c r="J123">
        <f>IF(G123="","",G123+I123)</f>
        <v/>
      </c>
    </row>
    <row r="124">
      <c r="G124">
        <f>IF(E124="","",E124*F124)</f>
        <v/>
      </c>
      <c r="I124">
        <f>IF(G124="","",G124*H124)</f>
        <v/>
      </c>
      <c r="J124">
        <f>IF(G124="","",G124+I124)</f>
        <v/>
      </c>
    </row>
    <row r="125">
      <c r="G125">
        <f>IF(E125="","",E125*F125)</f>
        <v/>
      </c>
      <c r="I125">
        <f>IF(G125="","",G125*H125)</f>
        <v/>
      </c>
      <c r="J125">
        <f>IF(G125="","",G125+I125)</f>
        <v/>
      </c>
    </row>
    <row r="126">
      <c r="G126">
        <f>IF(E126="","",E126*F126)</f>
        <v/>
      </c>
      <c r="I126">
        <f>IF(G126="","",G126*H126)</f>
        <v/>
      </c>
      <c r="J126">
        <f>IF(G126="","",G126+I126)</f>
        <v/>
      </c>
    </row>
    <row r="127">
      <c r="G127">
        <f>IF(E127="","",E127*F127)</f>
        <v/>
      </c>
      <c r="I127">
        <f>IF(G127="","",G127*H127)</f>
        <v/>
      </c>
      <c r="J127">
        <f>IF(G127="","",G127+I127)</f>
        <v/>
      </c>
    </row>
    <row r="128">
      <c r="G128">
        <f>IF(E128="","",E128*F128)</f>
        <v/>
      </c>
      <c r="I128">
        <f>IF(G128="","",G128*H128)</f>
        <v/>
      </c>
      <c r="J128">
        <f>IF(G128="","",G128+I128)</f>
        <v/>
      </c>
    </row>
    <row r="129">
      <c r="G129">
        <f>IF(E129="","",E129*F129)</f>
        <v/>
      </c>
      <c r="I129">
        <f>IF(G129="","",G129*H129)</f>
        <v/>
      </c>
      <c r="J129">
        <f>IF(G129="","",G129+I129)</f>
        <v/>
      </c>
    </row>
    <row r="130">
      <c r="G130">
        <f>IF(E130="","",E130*F130)</f>
        <v/>
      </c>
      <c r="I130">
        <f>IF(G130="","",G130*H130)</f>
        <v/>
      </c>
      <c r="J130">
        <f>IF(G130="","",G130+I130)</f>
        <v/>
      </c>
    </row>
    <row r="131">
      <c r="G131">
        <f>IF(E131="","",E131*F131)</f>
        <v/>
      </c>
      <c r="I131">
        <f>IF(G131="","",G131*H131)</f>
        <v/>
      </c>
      <c r="J131">
        <f>IF(G131="","",G131+I131)</f>
        <v/>
      </c>
    </row>
    <row r="132">
      <c r="G132">
        <f>IF(E132="","",E132*F132)</f>
        <v/>
      </c>
      <c r="I132">
        <f>IF(G132="","",G132*H132)</f>
        <v/>
      </c>
      <c r="J132">
        <f>IF(G132="","",G132+I132)</f>
        <v/>
      </c>
    </row>
    <row r="133">
      <c r="G133">
        <f>IF(E133="","",E133*F133)</f>
        <v/>
      </c>
      <c r="I133">
        <f>IF(G133="","",G133*H133)</f>
        <v/>
      </c>
      <c r="J133">
        <f>IF(G133="","",G133+I133)</f>
        <v/>
      </c>
    </row>
    <row r="134">
      <c r="G134">
        <f>IF(E134="","",E134*F134)</f>
        <v/>
      </c>
      <c r="I134">
        <f>IF(G134="","",G134*H134)</f>
        <v/>
      </c>
      <c r="J134">
        <f>IF(G134="","",G134+I134)</f>
        <v/>
      </c>
    </row>
    <row r="135">
      <c r="G135">
        <f>IF(E135="","",E135*F135)</f>
        <v/>
      </c>
      <c r="I135">
        <f>IF(G135="","",G135*H135)</f>
        <v/>
      </c>
      <c r="J135">
        <f>IF(G135="","",G135+I135)</f>
        <v/>
      </c>
    </row>
    <row r="136">
      <c r="G136">
        <f>IF(E136="","",E136*F136)</f>
        <v/>
      </c>
      <c r="I136">
        <f>IF(G136="","",G136*H136)</f>
        <v/>
      </c>
      <c r="J136">
        <f>IF(G136="","",G136+I136)</f>
        <v/>
      </c>
    </row>
    <row r="137">
      <c r="G137">
        <f>IF(E137="","",E137*F137)</f>
        <v/>
      </c>
      <c r="I137">
        <f>IF(G137="","",G137*H137)</f>
        <v/>
      </c>
      <c r="J137">
        <f>IF(G137="","",G137+I137)</f>
        <v/>
      </c>
    </row>
    <row r="138">
      <c r="G138">
        <f>IF(E138="","",E138*F138)</f>
        <v/>
      </c>
      <c r="I138">
        <f>IF(G138="","",G138*H138)</f>
        <v/>
      </c>
      <c r="J138">
        <f>IF(G138="","",G138+I138)</f>
        <v/>
      </c>
    </row>
    <row r="139">
      <c r="G139">
        <f>IF(E139="","",E139*F139)</f>
        <v/>
      </c>
      <c r="I139">
        <f>IF(G139="","",G139*H139)</f>
        <v/>
      </c>
      <c r="J139">
        <f>IF(G139="","",G139+I139)</f>
        <v/>
      </c>
    </row>
    <row r="140">
      <c r="G140">
        <f>IF(E140="","",E140*F140)</f>
        <v/>
      </c>
      <c r="I140">
        <f>IF(G140="","",G140*H140)</f>
        <v/>
      </c>
      <c r="J140">
        <f>IF(G140="","",G140+I140)</f>
        <v/>
      </c>
    </row>
    <row r="141">
      <c r="G141">
        <f>IF(E141="","",E141*F141)</f>
        <v/>
      </c>
      <c r="I141">
        <f>IF(G141="","",G141*H141)</f>
        <v/>
      </c>
      <c r="J141">
        <f>IF(G141="","",G141+I141)</f>
        <v/>
      </c>
    </row>
    <row r="142">
      <c r="G142">
        <f>IF(E142="","",E142*F142)</f>
        <v/>
      </c>
      <c r="I142">
        <f>IF(G142="","",G142*H142)</f>
        <v/>
      </c>
      <c r="J142">
        <f>IF(G142="","",G142+I142)</f>
        <v/>
      </c>
    </row>
    <row r="143">
      <c r="G143">
        <f>IF(E143="","",E143*F143)</f>
        <v/>
      </c>
      <c r="I143">
        <f>IF(G143="","",G143*H143)</f>
        <v/>
      </c>
      <c r="J143">
        <f>IF(G143="","",G143+I143)</f>
        <v/>
      </c>
    </row>
    <row r="144">
      <c r="G144">
        <f>IF(E144="","",E144*F144)</f>
        <v/>
      </c>
      <c r="I144">
        <f>IF(G144="","",G144*H144)</f>
        <v/>
      </c>
      <c r="J144">
        <f>IF(G144="","",G144+I144)</f>
        <v/>
      </c>
    </row>
    <row r="145">
      <c r="G145">
        <f>IF(E145="","",E145*F145)</f>
        <v/>
      </c>
      <c r="I145">
        <f>IF(G145="","",G145*H145)</f>
        <v/>
      </c>
      <c r="J145">
        <f>IF(G145="","",G145+I145)</f>
        <v/>
      </c>
    </row>
    <row r="146">
      <c r="G146">
        <f>IF(E146="","",E146*F146)</f>
        <v/>
      </c>
      <c r="I146">
        <f>IF(G146="","",G146*H146)</f>
        <v/>
      </c>
      <c r="J146">
        <f>IF(G146="","",G146+I146)</f>
        <v/>
      </c>
    </row>
    <row r="147">
      <c r="G147">
        <f>IF(E147="","",E147*F147)</f>
        <v/>
      </c>
      <c r="I147">
        <f>IF(G147="","",G147*H147)</f>
        <v/>
      </c>
      <c r="J147">
        <f>IF(G147="","",G147+I147)</f>
        <v/>
      </c>
    </row>
    <row r="148">
      <c r="G148">
        <f>IF(E148="","",E148*F148)</f>
        <v/>
      </c>
      <c r="I148">
        <f>IF(G148="","",G148*H148)</f>
        <v/>
      </c>
      <c r="J148">
        <f>IF(G148="","",G148+I148)</f>
        <v/>
      </c>
    </row>
    <row r="149">
      <c r="G149">
        <f>IF(E149="","",E149*F149)</f>
        <v/>
      </c>
      <c r="I149">
        <f>IF(G149="","",G149*H149)</f>
        <v/>
      </c>
      <c r="J149">
        <f>IF(G149="","",G149+I149)</f>
        <v/>
      </c>
    </row>
    <row r="150">
      <c r="G150">
        <f>IF(E150="","",E150*F150)</f>
        <v/>
      </c>
      <c r="I150">
        <f>IF(G150="","",G150*H150)</f>
        <v/>
      </c>
      <c r="J150">
        <f>IF(G150="","",G150+I150)</f>
        <v/>
      </c>
    </row>
    <row r="151">
      <c r="G151">
        <f>IF(E151="","",E151*F151)</f>
        <v/>
      </c>
      <c r="I151">
        <f>IF(G151="","",G151*H151)</f>
        <v/>
      </c>
      <c r="J151">
        <f>IF(G151="","",G151+I151)</f>
        <v/>
      </c>
    </row>
    <row r="152">
      <c r="G152">
        <f>IF(E152="","",E152*F152)</f>
        <v/>
      </c>
      <c r="I152">
        <f>IF(G152="","",G152*H152)</f>
        <v/>
      </c>
      <c r="J152">
        <f>IF(G152="","",G152+I152)</f>
        <v/>
      </c>
    </row>
    <row r="153">
      <c r="G153">
        <f>IF(E153="","",E153*F153)</f>
        <v/>
      </c>
      <c r="I153">
        <f>IF(G153="","",G153*H153)</f>
        <v/>
      </c>
      <c r="J153">
        <f>IF(G153="","",G153+I153)</f>
        <v/>
      </c>
    </row>
    <row r="154">
      <c r="G154">
        <f>IF(E154="","",E154*F154)</f>
        <v/>
      </c>
      <c r="I154">
        <f>IF(G154="","",G154*H154)</f>
        <v/>
      </c>
      <c r="J154">
        <f>IF(G154="","",G154+I154)</f>
        <v/>
      </c>
    </row>
    <row r="155">
      <c r="G155">
        <f>IF(E155="","",E155*F155)</f>
        <v/>
      </c>
      <c r="I155">
        <f>IF(G155="","",G155*H155)</f>
        <v/>
      </c>
      <c r="J155">
        <f>IF(G155="","",G155+I155)</f>
        <v/>
      </c>
    </row>
    <row r="156">
      <c r="G156">
        <f>IF(E156="","",E156*F156)</f>
        <v/>
      </c>
      <c r="I156">
        <f>IF(G156="","",G156*H156)</f>
        <v/>
      </c>
      <c r="J156">
        <f>IF(G156="","",G156+I156)</f>
        <v/>
      </c>
    </row>
    <row r="157">
      <c r="G157">
        <f>IF(E157="","",E157*F157)</f>
        <v/>
      </c>
      <c r="I157">
        <f>IF(G157="","",G157*H157)</f>
        <v/>
      </c>
      <c r="J157">
        <f>IF(G157="","",G157+I157)</f>
        <v/>
      </c>
    </row>
    <row r="158">
      <c r="G158">
        <f>IF(E158="","",E158*F158)</f>
        <v/>
      </c>
      <c r="I158">
        <f>IF(G158="","",G158*H158)</f>
        <v/>
      </c>
      <c r="J158">
        <f>IF(G158="","",G158+I158)</f>
        <v/>
      </c>
    </row>
    <row r="159">
      <c r="G159">
        <f>IF(E159="","",E159*F159)</f>
        <v/>
      </c>
      <c r="I159">
        <f>IF(G159="","",G159*H159)</f>
        <v/>
      </c>
      <c r="J159">
        <f>IF(G159="","",G159+I159)</f>
        <v/>
      </c>
    </row>
    <row r="160">
      <c r="G160">
        <f>IF(E160="","",E160*F160)</f>
        <v/>
      </c>
      <c r="I160">
        <f>IF(G160="","",G160*H160)</f>
        <v/>
      </c>
      <c r="J160">
        <f>IF(G160="","",G160+I160)</f>
        <v/>
      </c>
    </row>
    <row r="161">
      <c r="G161">
        <f>IF(E161="","",E161*F161)</f>
        <v/>
      </c>
      <c r="I161">
        <f>IF(G161="","",G161*H161)</f>
        <v/>
      </c>
      <c r="J161">
        <f>IF(G161="","",G161+I161)</f>
        <v/>
      </c>
    </row>
    <row r="162">
      <c r="G162">
        <f>IF(E162="","",E162*F162)</f>
        <v/>
      </c>
      <c r="I162">
        <f>IF(G162="","",G162*H162)</f>
        <v/>
      </c>
      <c r="J162">
        <f>IF(G162="","",G162+I162)</f>
        <v/>
      </c>
    </row>
    <row r="163">
      <c r="G163">
        <f>IF(E163="","",E163*F163)</f>
        <v/>
      </c>
      <c r="I163">
        <f>IF(G163="","",G163*H163)</f>
        <v/>
      </c>
      <c r="J163">
        <f>IF(G163="","",G163+I163)</f>
        <v/>
      </c>
    </row>
    <row r="164">
      <c r="G164">
        <f>IF(E164="","",E164*F164)</f>
        <v/>
      </c>
      <c r="I164">
        <f>IF(G164="","",G164*H164)</f>
        <v/>
      </c>
      <c r="J164">
        <f>IF(G164="","",G164+I164)</f>
        <v/>
      </c>
    </row>
    <row r="165">
      <c r="G165">
        <f>IF(E165="","",E165*F165)</f>
        <v/>
      </c>
      <c r="I165">
        <f>IF(G165="","",G165*H165)</f>
        <v/>
      </c>
      <c r="J165">
        <f>IF(G165="","",G165+I165)</f>
        <v/>
      </c>
    </row>
    <row r="166">
      <c r="G166">
        <f>IF(E166="","",E166*F166)</f>
        <v/>
      </c>
      <c r="I166">
        <f>IF(G166="","",G166*H166)</f>
        <v/>
      </c>
      <c r="J166">
        <f>IF(G166="","",G166+I166)</f>
        <v/>
      </c>
    </row>
    <row r="167">
      <c r="G167">
        <f>IF(E167="","",E167*F167)</f>
        <v/>
      </c>
      <c r="I167">
        <f>IF(G167="","",G167*H167)</f>
        <v/>
      </c>
      <c r="J167">
        <f>IF(G167="","",G167+I167)</f>
        <v/>
      </c>
    </row>
    <row r="168">
      <c r="G168">
        <f>IF(E168="","",E168*F168)</f>
        <v/>
      </c>
      <c r="I168">
        <f>IF(G168="","",G168*H168)</f>
        <v/>
      </c>
      <c r="J168">
        <f>IF(G168="","",G168+I168)</f>
        <v/>
      </c>
    </row>
    <row r="169">
      <c r="G169">
        <f>IF(E169="","",E169*F169)</f>
        <v/>
      </c>
      <c r="I169">
        <f>IF(G169="","",G169*H169)</f>
        <v/>
      </c>
      <c r="J169">
        <f>IF(G169="","",G169+I169)</f>
        <v/>
      </c>
    </row>
    <row r="170">
      <c r="G170">
        <f>IF(E170="","",E170*F170)</f>
        <v/>
      </c>
      <c r="I170">
        <f>IF(G170="","",G170*H170)</f>
        <v/>
      </c>
      <c r="J170">
        <f>IF(G170="","",G170+I170)</f>
        <v/>
      </c>
    </row>
    <row r="171">
      <c r="G171">
        <f>IF(E171="","",E171*F171)</f>
        <v/>
      </c>
      <c r="I171">
        <f>IF(G171="","",G171*H171)</f>
        <v/>
      </c>
      <c r="J171">
        <f>IF(G171="","",G171+I171)</f>
        <v/>
      </c>
    </row>
    <row r="172">
      <c r="G172">
        <f>IF(E172="","",E172*F172)</f>
        <v/>
      </c>
      <c r="I172">
        <f>IF(G172="","",G172*H172)</f>
        <v/>
      </c>
      <c r="J172">
        <f>IF(G172="","",G172+I172)</f>
        <v/>
      </c>
    </row>
    <row r="173">
      <c r="G173">
        <f>IF(E173="","",E173*F173)</f>
        <v/>
      </c>
      <c r="I173">
        <f>IF(G173="","",G173*H173)</f>
        <v/>
      </c>
      <c r="J173">
        <f>IF(G173="","",G173+I173)</f>
        <v/>
      </c>
    </row>
    <row r="174">
      <c r="G174">
        <f>IF(E174="","",E174*F174)</f>
        <v/>
      </c>
      <c r="I174">
        <f>IF(G174="","",G174*H174)</f>
        <v/>
      </c>
      <c r="J174">
        <f>IF(G174="","",G174+I174)</f>
        <v/>
      </c>
    </row>
    <row r="175">
      <c r="G175">
        <f>IF(E175="","",E175*F175)</f>
        <v/>
      </c>
      <c r="I175">
        <f>IF(G175="","",G175*H175)</f>
        <v/>
      </c>
      <c r="J175">
        <f>IF(G175="","",G175+I175)</f>
        <v/>
      </c>
    </row>
    <row r="176">
      <c r="G176">
        <f>IF(E176="","",E176*F176)</f>
        <v/>
      </c>
      <c r="I176">
        <f>IF(G176="","",G176*H176)</f>
        <v/>
      </c>
      <c r="J176">
        <f>IF(G176="","",G176+I176)</f>
        <v/>
      </c>
    </row>
    <row r="177">
      <c r="G177">
        <f>IF(E177="","",E177*F177)</f>
        <v/>
      </c>
      <c r="I177">
        <f>IF(G177="","",G177*H177)</f>
        <v/>
      </c>
      <c r="J177">
        <f>IF(G177="","",G177+I177)</f>
        <v/>
      </c>
    </row>
    <row r="178">
      <c r="G178">
        <f>IF(E178="","",E178*F178)</f>
        <v/>
      </c>
      <c r="I178">
        <f>IF(G178="","",G178*H178)</f>
        <v/>
      </c>
      <c r="J178">
        <f>IF(G178="","",G178+I178)</f>
        <v/>
      </c>
    </row>
    <row r="179">
      <c r="G179">
        <f>IF(E179="","",E179*F179)</f>
        <v/>
      </c>
      <c r="I179">
        <f>IF(G179="","",G179*H179)</f>
        <v/>
      </c>
      <c r="J179">
        <f>IF(G179="","",G179+I179)</f>
        <v/>
      </c>
    </row>
    <row r="180">
      <c r="G180">
        <f>IF(E180="","",E180*F180)</f>
        <v/>
      </c>
      <c r="I180">
        <f>IF(G180="","",G180*H180)</f>
        <v/>
      </c>
      <c r="J180">
        <f>IF(G180="","",G180+I180)</f>
        <v/>
      </c>
    </row>
    <row r="181">
      <c r="G181">
        <f>IF(E181="","",E181*F181)</f>
        <v/>
      </c>
      <c r="I181">
        <f>IF(G181="","",G181*H181)</f>
        <v/>
      </c>
      <c r="J181">
        <f>IF(G181="","",G181+I181)</f>
        <v/>
      </c>
    </row>
    <row r="182">
      <c r="G182">
        <f>IF(E182="","",E182*F182)</f>
        <v/>
      </c>
      <c r="I182">
        <f>IF(G182="","",G182*H182)</f>
        <v/>
      </c>
      <c r="J182">
        <f>IF(G182="","",G182+I182)</f>
        <v/>
      </c>
    </row>
    <row r="183">
      <c r="G183">
        <f>IF(E183="","",E183*F183)</f>
        <v/>
      </c>
      <c r="I183">
        <f>IF(G183="","",G183*H183)</f>
        <v/>
      </c>
      <c r="J183">
        <f>IF(G183="","",G183+I183)</f>
        <v/>
      </c>
    </row>
    <row r="184">
      <c r="G184">
        <f>IF(E184="","",E184*F184)</f>
        <v/>
      </c>
      <c r="I184">
        <f>IF(G184="","",G184*H184)</f>
        <v/>
      </c>
      <c r="J184">
        <f>IF(G184="","",G184+I184)</f>
        <v/>
      </c>
    </row>
    <row r="185">
      <c r="G185">
        <f>IF(E185="","",E185*F185)</f>
        <v/>
      </c>
      <c r="I185">
        <f>IF(G185="","",G185*H185)</f>
        <v/>
      </c>
      <c r="J185">
        <f>IF(G185="","",G185+I185)</f>
        <v/>
      </c>
    </row>
    <row r="186">
      <c r="G186">
        <f>IF(E186="","",E186*F186)</f>
        <v/>
      </c>
      <c r="I186">
        <f>IF(G186="","",G186*H186)</f>
        <v/>
      </c>
      <c r="J186">
        <f>IF(G186="","",G186+I186)</f>
        <v/>
      </c>
    </row>
    <row r="187">
      <c r="G187">
        <f>IF(E187="","",E187*F187)</f>
        <v/>
      </c>
      <c r="I187">
        <f>IF(G187="","",G187*H187)</f>
        <v/>
      </c>
      <c r="J187">
        <f>IF(G187="","",G187+I187)</f>
        <v/>
      </c>
    </row>
    <row r="188">
      <c r="G188">
        <f>IF(E188="","",E188*F188)</f>
        <v/>
      </c>
      <c r="I188">
        <f>IF(G188="","",G188*H188)</f>
        <v/>
      </c>
      <c r="J188">
        <f>IF(G188="","",G188+I188)</f>
        <v/>
      </c>
    </row>
    <row r="189">
      <c r="G189">
        <f>IF(E189="","",E189*F189)</f>
        <v/>
      </c>
      <c r="I189">
        <f>IF(G189="","",G189*H189)</f>
        <v/>
      </c>
      <c r="J189">
        <f>IF(G189="","",G189+I189)</f>
        <v/>
      </c>
    </row>
    <row r="190">
      <c r="G190">
        <f>IF(E190="","",E190*F190)</f>
        <v/>
      </c>
      <c r="I190">
        <f>IF(G190="","",G190*H190)</f>
        <v/>
      </c>
      <c r="J190">
        <f>IF(G190="","",G190+I190)</f>
        <v/>
      </c>
    </row>
    <row r="191">
      <c r="G191">
        <f>IF(E191="","",E191*F191)</f>
        <v/>
      </c>
      <c r="I191">
        <f>IF(G191="","",G191*H191)</f>
        <v/>
      </c>
      <c r="J191">
        <f>IF(G191="","",G191+I191)</f>
        <v/>
      </c>
    </row>
    <row r="192">
      <c r="G192">
        <f>IF(E192="","",E192*F192)</f>
        <v/>
      </c>
      <c r="I192">
        <f>IF(G192="","",G192*H192)</f>
        <v/>
      </c>
      <c r="J192">
        <f>IF(G192="","",G192+I192)</f>
        <v/>
      </c>
    </row>
    <row r="193">
      <c r="G193">
        <f>IF(E193="","",E193*F193)</f>
        <v/>
      </c>
      <c r="I193">
        <f>IF(G193="","",G193*H193)</f>
        <v/>
      </c>
      <c r="J193">
        <f>IF(G193="","",G193+I193)</f>
        <v/>
      </c>
    </row>
    <row r="194">
      <c r="G194">
        <f>IF(E194="","",E194*F194)</f>
        <v/>
      </c>
      <c r="I194">
        <f>IF(G194="","",G194*H194)</f>
        <v/>
      </c>
      <c r="J194">
        <f>IF(G194="","",G194+I194)</f>
        <v/>
      </c>
    </row>
    <row r="195">
      <c r="G195">
        <f>IF(E195="","",E195*F195)</f>
        <v/>
      </c>
      <c r="I195">
        <f>IF(G195="","",G195*H195)</f>
        <v/>
      </c>
      <c r="J195">
        <f>IF(G195="","",G195+I195)</f>
        <v/>
      </c>
    </row>
    <row r="196">
      <c r="G196">
        <f>IF(E196="","",E196*F196)</f>
        <v/>
      </c>
      <c r="I196">
        <f>IF(G196="","",G196*H196)</f>
        <v/>
      </c>
      <c r="J196">
        <f>IF(G196="","",G196+I196)</f>
        <v/>
      </c>
    </row>
    <row r="197">
      <c r="G197">
        <f>IF(E197="","",E197*F197)</f>
        <v/>
      </c>
      <c r="I197">
        <f>IF(G197="","",G197*H197)</f>
        <v/>
      </c>
      <c r="J197">
        <f>IF(G197="","",G197+I197)</f>
        <v/>
      </c>
    </row>
    <row r="198">
      <c r="G198">
        <f>IF(E198="","",E198*F198)</f>
        <v/>
      </c>
      <c r="I198">
        <f>IF(G198="","",G198*H198)</f>
        <v/>
      </c>
      <c r="J198">
        <f>IF(G198="","",G198+I198)</f>
        <v/>
      </c>
    </row>
    <row r="199">
      <c r="G199">
        <f>IF(E199="","",E199*F199)</f>
        <v/>
      </c>
      <c r="I199">
        <f>IF(G199="","",G199*H199)</f>
        <v/>
      </c>
      <c r="J199">
        <f>IF(G199="","",G199+I199)</f>
        <v/>
      </c>
    </row>
    <row r="200">
      <c r="G200">
        <f>IF(E200="","",E200*F200)</f>
        <v/>
      </c>
      <c r="I200">
        <f>IF(G200="","",G200*H200)</f>
        <v/>
      </c>
      <c r="J200">
        <f>IF(G200="","",G200+I200)</f>
        <v/>
      </c>
    </row>
    <row r="201">
      <c r="G201">
        <f>IF(E201="","",E201*F201)</f>
        <v/>
      </c>
      <c r="I201">
        <f>IF(G201="","",G201*H201)</f>
        <v/>
      </c>
      <c r="J201">
        <f>IF(G201="","",G201+I201)</f>
        <v/>
      </c>
    </row>
    <row r="203">
      <c r="F203" t="inlineStr">
        <is>
          <t>Purchases</t>
        </is>
      </c>
      <c r="J203">
        <f>SUMIF(B2:B201,"Purchase",J2:J201)</f>
        <v/>
      </c>
    </row>
    <row r="204">
      <c r="F204" t="inlineStr">
        <is>
          <t>Sales</t>
        </is>
      </c>
      <c r="J204">
        <f>SUMIF(B2:B201,"Sale",J2:J201)</f>
        <v/>
      </c>
    </row>
    <row r="205">
      <c r="F205" t="inlineStr">
        <is>
          <t>Expenses</t>
        </is>
      </c>
      <c r="J205">
        <f>SUMIF(B2:B201,"Expense",J2:J201)</f>
        <v/>
      </c>
    </row>
    <row r="206">
      <c r="F206" t="inlineStr">
        <is>
          <t>GST paid (input)</t>
        </is>
      </c>
      <c r="J206">
        <f>SUMIF(B2:B201,"Purchase",I2:I201)</f>
        <v/>
      </c>
    </row>
    <row r="207">
      <c r="F207" t="inlineStr">
        <is>
          <t>GST collected (output)</t>
        </is>
      </c>
      <c r="J207">
        <f>SUMIF(B2:B201,"Sale",I2:I201)</f>
        <v/>
      </c>
    </row>
  </sheetData>
  <dataValidations count="1">
    <dataValidation sqref="B2:B201" showDropDown="0" showInputMessage="0" showErrorMessage="0" allowBlank="0" type="list">
      <formula1>"Purchase,Sale,Expense"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SKU</t>
        </is>
      </c>
      <c r="B1" s="1" t="inlineStr">
        <is>
          <t>Opening qty</t>
        </is>
      </c>
      <c r="C1" s="1" t="inlineStr">
        <is>
          <t>Purchased/packed</t>
        </is>
      </c>
      <c r="D1" s="1" t="inlineStr">
        <is>
          <t>Sold</t>
        </is>
      </c>
      <c r="E1" s="1" t="inlineStr">
        <is>
          <t>Closing qty</t>
        </is>
      </c>
      <c r="F1" s="1" t="inlineStr">
        <is>
          <t>Cost/unit ₹</t>
        </is>
      </c>
      <c r="G1" s="1" t="inlineStr">
        <is>
          <t>Stock value ₹</t>
        </is>
      </c>
      <c r="H1" s="1" t="inlineStr">
        <is>
          <t>Reorder level</t>
        </is>
      </c>
      <c r="I1" s="1" t="inlineStr">
        <is>
          <t>Reorder?</t>
        </is>
      </c>
    </row>
    <row r="2">
      <c r="A2" t="inlineStr">
        <is>
          <t>Toor dal 1kg</t>
        </is>
      </c>
      <c r="B2" t="n">
        <v>0</v>
      </c>
      <c r="C2" t="n">
        <v>0</v>
      </c>
      <c r="D2" t="n">
        <v>0</v>
      </c>
      <c r="E2">
        <f>B2+C2-D2</f>
        <v/>
      </c>
      <c r="G2">
        <f>E2*F2</f>
        <v/>
      </c>
      <c r="H2" t="n">
        <v>20</v>
      </c>
      <c r="I2">
        <f>IF(E2&lt;=H2,"YES","")</f>
        <v/>
      </c>
    </row>
    <row r="3">
      <c r="A3" t="inlineStr">
        <is>
          <t>Toor dal 500g</t>
        </is>
      </c>
      <c r="B3" t="n">
        <v>0</v>
      </c>
      <c r="C3" t="n">
        <v>0</v>
      </c>
      <c r="D3" t="n">
        <v>0</v>
      </c>
      <c r="E3">
        <f>B3+C3-D3</f>
        <v/>
      </c>
      <c r="G3">
        <f>E3*F3</f>
        <v/>
      </c>
      <c r="H3" t="n">
        <v>20</v>
      </c>
      <c r="I3">
        <f>IF(E3&lt;=H3,"YES","")</f>
        <v/>
      </c>
    </row>
    <row r="4">
      <c r="A4" t="inlineStr">
        <is>
          <t>Urad dal 1kg</t>
        </is>
      </c>
      <c r="B4" t="n">
        <v>0</v>
      </c>
      <c r="C4" t="n">
        <v>0</v>
      </c>
      <c r="D4" t="n">
        <v>0</v>
      </c>
      <c r="E4">
        <f>B4+C4-D4</f>
        <v/>
      </c>
      <c r="G4">
        <f>E4*F4</f>
        <v/>
      </c>
      <c r="H4" t="n">
        <v>20</v>
      </c>
      <c r="I4">
        <f>IF(E4&lt;=H4,"YES","")</f>
        <v/>
      </c>
    </row>
    <row r="5">
      <c r="A5" t="inlineStr">
        <is>
          <t>Urad dal 500g</t>
        </is>
      </c>
      <c r="B5" t="n">
        <v>0</v>
      </c>
      <c r="C5" t="n">
        <v>0</v>
      </c>
      <c r="D5" t="n">
        <v>0</v>
      </c>
      <c r="E5">
        <f>B5+C5-D5</f>
        <v/>
      </c>
      <c r="G5">
        <f>E5*F5</f>
        <v/>
      </c>
      <c r="H5" t="n">
        <v>20</v>
      </c>
      <c r="I5">
        <f>IF(E5&lt;=H5,"YES","")</f>
        <v/>
      </c>
    </row>
    <row r="6">
      <c r="A6" t="inlineStr">
        <is>
          <t>Moong dal 1kg</t>
        </is>
      </c>
      <c r="B6" t="n">
        <v>0</v>
      </c>
      <c r="C6" t="n">
        <v>0</v>
      </c>
      <c r="D6" t="n">
        <v>0</v>
      </c>
      <c r="E6">
        <f>B6+C6-D6</f>
        <v/>
      </c>
      <c r="G6">
        <f>E6*F6</f>
        <v/>
      </c>
      <c r="H6" t="n">
        <v>20</v>
      </c>
      <c r="I6">
        <f>IF(E6&lt;=H6,"YES","")</f>
        <v/>
      </c>
    </row>
    <row r="7">
      <c r="A7" t="inlineStr">
        <is>
          <t>Moong dal 500g</t>
        </is>
      </c>
      <c r="B7" t="n">
        <v>0</v>
      </c>
      <c r="C7" t="n">
        <v>0</v>
      </c>
      <c r="D7" t="n">
        <v>0</v>
      </c>
      <c r="E7">
        <f>B7+C7-D7</f>
        <v/>
      </c>
      <c r="G7">
        <f>E7*F7</f>
        <v/>
      </c>
      <c r="H7" t="n">
        <v>20</v>
      </c>
      <c r="I7">
        <f>IF(E7&lt;=H7,"YES","")</f>
        <v/>
      </c>
    </row>
    <row r="8">
      <c r="A8" t="inlineStr">
        <is>
          <t>Chana dal 1kg</t>
        </is>
      </c>
      <c r="B8" t="n">
        <v>0</v>
      </c>
      <c r="C8" t="n">
        <v>0</v>
      </c>
      <c r="D8" t="n">
        <v>0</v>
      </c>
      <c r="E8">
        <f>B8+C8-D8</f>
        <v/>
      </c>
      <c r="G8">
        <f>E8*F8</f>
        <v/>
      </c>
      <c r="H8" t="n">
        <v>20</v>
      </c>
      <c r="I8">
        <f>IF(E8&lt;=H8,"YES","")</f>
        <v/>
      </c>
    </row>
    <row r="9">
      <c r="A9" t="inlineStr">
        <is>
          <t>Chana dal 500g</t>
        </is>
      </c>
      <c r="B9" t="n">
        <v>0</v>
      </c>
      <c r="C9" t="n">
        <v>0</v>
      </c>
      <c r="D9" t="n">
        <v>0</v>
      </c>
      <c r="E9">
        <f>B9+C9-D9</f>
        <v/>
      </c>
      <c r="G9">
        <f>E9*F9</f>
        <v/>
      </c>
      <c r="H9" t="n">
        <v>20</v>
      </c>
      <c r="I9">
        <f>IF(E9&lt;=H9,"YES","")</f>
        <v/>
      </c>
    </row>
    <row r="10">
      <c r="A10" t="inlineStr">
        <is>
          <t>TOTAL</t>
        </is>
      </c>
      <c r="G10">
        <f>SUM(G2:G9)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Area/Address</t>
        </is>
      </c>
      <c r="D1" s="1" t="inlineStr">
        <is>
          <t>Phone</t>
        </is>
      </c>
      <c r="E1" s="1" t="inlineStr">
        <is>
          <t>Website/Email</t>
        </is>
      </c>
      <c r="F1" s="1" t="inlineStr">
        <is>
          <t>Source URL</t>
        </is>
      </c>
      <c r="G1" s="1" t="inlineStr">
        <is>
          <t>Notes</t>
        </is>
      </c>
      <c r="H1" s="1" t="inlineStr">
        <is>
          <t>Contacted?</t>
        </is>
      </c>
      <c r="I1" s="1" t="inlineStr">
        <is>
          <t>Quote ₹/kg</t>
        </is>
      </c>
      <c r="J1" s="1" t="inlineStr">
        <is>
          <t>FSSAI no.</t>
        </is>
      </c>
    </row>
    <row r="2">
      <c r="A2" t="inlineStr">
        <is>
          <t>ATM Pulses</t>
        </is>
      </c>
      <c r="B2" t="inlineStr">
        <is>
          <t>Pulses wholesaler</t>
        </is>
      </c>
      <c r="C2" t="inlineStr">
        <is>
          <t>54C 3rd Cross, Lorry Godown St, APMC Yard, Yeshwanthpur 560022 (also Bhadra Complex 26/38 APMC Yard)</t>
        </is>
      </c>
      <c r="D2" t="inlineStr">
        <is>
          <t>080-41283428, 080-23185797, +91 7019615450</t>
        </is>
      </c>
      <c r="F2" t="inlineStr">
        <is>
          <t>https://www.asklaila.com/listing/Bangalore/yeshwanthpur/atm-pulses/FAILEGsJ/</t>
        </is>
      </c>
      <c r="G2" t="inlineStr">
        <is>
          <t>Pulses &amp; rice; Mon-Sat 10am-8pm per exa listing</t>
        </is>
      </c>
    </row>
    <row r="3">
      <c r="A3" t="inlineStr">
        <is>
          <t>Sanghavi Agro Pulses</t>
        </is>
      </c>
      <c r="B3" t="inlineStr">
        <is>
          <t>Pulses wholesaler</t>
        </is>
      </c>
      <c r="C3" t="inlineStr">
        <is>
          <t>52/2 Kirana Complex, APMC Yard, Yeshwanthpur 560022</t>
        </is>
      </c>
      <c r="D3" t="inlineStr">
        <is>
          <t>080-40964549</t>
        </is>
      </c>
      <c r="F3" t="inlineStr">
        <is>
          <t>https://www.asklaila.com/listing/Bangalore/yeshwanthpur/sanghavi-agro-pulses/0TKw9xqZ/</t>
        </is>
      </c>
      <c r="G3" t="inlineStr">
        <is>
          <t>Toor, urad, gram dal, moong, peas</t>
        </is>
      </c>
    </row>
    <row r="4">
      <c r="A4" t="inlineStr">
        <is>
          <t>Super Traders</t>
        </is>
      </c>
      <c r="B4" t="inlineStr">
        <is>
          <t>Rice &amp; pulses wholesaler</t>
        </is>
      </c>
      <c r="C4" t="inlineStr">
        <is>
          <t>185/19/1 6th Main, APMC Yard, Yeshwanthpur 560022</t>
        </is>
      </c>
      <c r="D4" t="inlineStr">
        <is>
          <t>080-41283352, 080-23470537</t>
        </is>
      </c>
      <c r="F4" t="inlineStr">
        <is>
          <t>https://www.asklaila.com/listing/Bangalore/yeshwanthpur/super-traders/khDN7tDt/</t>
        </is>
      </c>
      <c r="G4" t="inlineStr">
        <is>
          <t>Moong, toor, urad</t>
        </is>
      </c>
    </row>
    <row r="5">
      <c r="A5" t="inlineStr">
        <is>
          <t>Sanjay Traders</t>
        </is>
      </c>
      <c r="B5" t="inlineStr">
        <is>
          <t>Rice &amp; pulses wholesaler</t>
        </is>
      </c>
      <c r="C5" t="inlineStr">
        <is>
          <t>173 6th Main, APMC Yard, Yeshwanthpur 560022</t>
        </is>
      </c>
      <c r="D5" t="inlineStr">
        <is>
          <t>080-41283225</t>
        </is>
      </c>
      <c r="F5" t="inlineStr">
        <is>
          <t>https://www.asklaila.com/listing/Bangalore/yeshwanthpur/sanjay-traders/IPCOTA8q/</t>
        </is>
      </c>
      <c r="G5" t="inlineStr">
        <is>
          <t>Bengal gram dal, urad, toor, green gram</t>
        </is>
      </c>
    </row>
    <row r="6">
      <c r="A6" t="inlineStr">
        <is>
          <t>Taj Agencies</t>
        </is>
      </c>
      <c r="B6" t="inlineStr">
        <is>
          <t>Pulses wholesaler</t>
        </is>
      </c>
      <c r="C6" t="inlineStr">
        <is>
          <t>206/1 6th Main, APMC Yard, Yeshwanthpur</t>
        </is>
      </c>
      <c r="D6" t="inlineStr">
        <is>
          <t>080-41283301, 080-23374215</t>
        </is>
      </c>
      <c r="F6" t="inlineStr">
        <is>
          <t>https://www.asklaila.com/listing/Bangalore/yeshwanthpur/taj-agencies/1lG1C9lC/</t>
        </is>
      </c>
      <c r="G6" t="inlineStr">
        <is>
          <t>From search summary; verify listing</t>
        </is>
      </c>
    </row>
    <row r="7">
      <c r="A7" t="inlineStr">
        <is>
          <t>Sri R K Traders</t>
        </is>
      </c>
      <c r="B7" t="inlineStr">
        <is>
          <t>Wholesale grocery incl. dals</t>
        </is>
      </c>
      <c r="C7" t="inlineStr">
        <is>
          <t>57/4-57/5 B.R. Complex, 5th Main, Lorry Godown St, APMC Yard, Yeshwanthpura 560022</t>
        </is>
      </c>
      <c r="D7" t="inlineStr">
        <is>
          <t>+91 87489 35819 (WhatsApp)</t>
        </is>
      </c>
      <c r="E7" t="inlineStr">
        <is>
          <t>srirktraders.in / srirktraders1@gmail.com</t>
        </is>
      </c>
      <c r="F7" t="inlineStr">
        <is>
          <t>https://srirktraders.in/</t>
        </is>
      </c>
      <c r="G7" t="inlineStr">
        <is>
          <t>Same-day delivery nearby if ordered before 2 PM; good for small trial lots</t>
        </is>
      </c>
      <c r="H7" t="inlineStr">
        <is>
          <t>Yes - email 13 Oct 2026</t>
        </is>
      </c>
      <c r="I7" t="inlineStr">
        <is>
          <t>Awaiting reply</t>
        </is>
      </c>
    </row>
    <row r="8">
      <c r="A8" t="inlineStr">
        <is>
          <t>Advith Enterprises</t>
        </is>
      </c>
      <c r="B8" t="inlineStr">
        <is>
          <t>Organic toor/chana dal supplier</t>
        </is>
      </c>
      <c r="C8" t="inlineStr">
        <is>
          <t>273 6th Cross, KHB Colony, Magadi, Ramanagara 560060</t>
        </is>
      </c>
      <c r="D8" t="inlineStr">
        <is>
          <t>(not shown; site chat)</t>
        </is>
      </c>
      <c r="E8" t="inlineStr">
        <is>
          <t>advithenterprises.co.in</t>
        </is>
      </c>
      <c r="F8" t="inlineStr">
        <is>
          <t>https://www.advithenterprises.co.in/</t>
        </is>
      </c>
      <c r="G8" t="inlineStr">
        <is>
          <t>Contacts: Avinash &amp; Shankara K B; est. 2024</t>
        </is>
      </c>
    </row>
    <row r="9">
      <c r="A9" t="inlineStr">
        <is>
          <t>Hazalmo Exports</t>
        </is>
      </c>
      <c r="B9" t="inlineStr">
        <is>
          <t>Toor dal (unpolished/polished) sourcing &amp; packing</t>
        </is>
      </c>
      <c r="C9" t="inlineStr">
        <is>
          <t>108A Samprasiddhi Green Edge, Rachenahalli, Bangalore 560077</t>
        </is>
      </c>
      <c r="D9" t="inlineStr">
        <is>
          <t>+91 9353101164, +91 9632842231</t>
        </is>
      </c>
      <c r="E9" t="inlineStr">
        <is>
          <t>info@hazalmo.com</t>
        </is>
      </c>
      <c r="F9" t="inlineStr">
        <is>
          <t>https://hazalmo.com/toor-dal/</t>
        </is>
      </c>
      <c r="G9" t="inlineStr">
        <is>
          <t>Exporter; offers unpolished option (premium positioning)</t>
        </is>
      </c>
      <c r="H9" t="inlineStr">
        <is>
          <t>Yes - email 13 Oct 2026</t>
        </is>
      </c>
      <c r="I9" t="inlineStr">
        <is>
          <t>Awaiting reply</t>
        </is>
      </c>
    </row>
    <row r="10">
      <c r="A10" t="inlineStr">
        <is>
          <t>Sri Ranganatha Industries</t>
        </is>
      </c>
      <c r="B10" t="inlineStr">
        <is>
          <t>Manufacturer (Peenya)</t>
        </is>
      </c>
      <c r="C10" t="inlineStr">
        <is>
          <t>2nd Block, Peenya 1st Stage, Leggere Rd 560058</t>
        </is>
      </c>
      <c r="D10" t="inlineStr">
        <is>
          <t>+91 9448344651</t>
        </is>
      </c>
      <c r="F10" t="inlineStr">
        <is>
          <t>https://exa.ai/library/places?q=c0d8cd7a0e64e04a</t>
        </is>
      </c>
      <c r="G10" t="inlineStr">
        <is>
          <t>Appeared in dal-mill search; product line not confirmed - verify</t>
        </is>
      </c>
    </row>
    <row r="11">
      <c r="A11" t="inlineStr">
        <is>
          <t>Krupaa Foods</t>
        </is>
      </c>
      <c r="B11" t="inlineStr">
        <is>
          <t>Dal manufacturer/processor (toor, chana, urad, moong)</t>
        </is>
      </c>
      <c r="C11" t="inlineStr">
        <is>
          <t>Location not confirmed on page</t>
        </is>
      </c>
      <c r="D11" t="inlineStr">
        <is>
          <t>(not shown)</t>
        </is>
      </c>
      <c r="E11" t="inlineStr">
        <is>
          <t>krupaafoods.com</t>
        </is>
      </c>
      <c r="F11" t="inlineStr">
        <is>
          <t>https://krupaafoods.com/</t>
        </is>
      </c>
      <c r="G11" t="inlineStr">
        <is>
          <t>Verify it is Karnataka-based before contacting</t>
        </is>
      </c>
    </row>
    <row r="12">
      <c r="A12" t="inlineStr">
        <is>
          <t>Indian Pulses</t>
        </is>
      </c>
      <c r="B12" t="inlineStr">
        <is>
          <t>Pulses trader/wholesaler (IndiaMART)</t>
        </is>
      </c>
      <c r="C12" t="inlineStr">
        <is>
          <t>Bengaluru</t>
        </is>
      </c>
      <c r="D12" t="inlineStr">
        <is>
          <t>(via IndiaMART)</t>
        </is>
      </c>
      <c r="F12" t="inlineStr">
        <is>
          <t>https://www.indiamart.com/company/143301004/indian-pulses.html</t>
        </is>
      </c>
      <c r="G12" t="inlineStr">
        <is>
          <t>Green peas &amp; pulses</t>
        </is>
      </c>
    </row>
    <row r="13">
      <c r="A13" t="inlineStr">
        <is>
          <t>Bangalore Wholesale Food Grains &amp; Pulses Merchants Association</t>
        </is>
      </c>
      <c r="B13" t="inlineStr">
        <is>
          <t>Trade association</t>
        </is>
      </c>
      <c r="C13" t="inlineStr">
        <is>
          <t>APMC Yeshwanthpur area</t>
        </is>
      </c>
      <c r="D13" t="inlineStr">
        <is>
          <t>(not captured)</t>
        </is>
      </c>
      <c r="F13" t="inlineStr">
        <is>
          <t>search summary (IndiaMART/AskLaila results)</t>
        </is>
      </c>
      <c r="G13" t="inlineStr">
        <is>
          <t>Good route to get a member list of APMC dal traders</t>
        </is>
      </c>
    </row>
    <row r="14">
      <c r="A14" t="inlineStr">
        <is>
          <t>Mudga Industries Pvt Ltd</t>
        </is>
      </c>
      <c r="B14" t="inlineStr">
        <is>
          <t>Commodity repacking, private/white label</t>
        </is>
      </c>
      <c r="C14" t="inlineStr">
        <is>
          <t>Bengaluru North Taluk</t>
        </is>
      </c>
      <c r="D14" t="inlineStr">
        <is>
          <t>+91 9663897366, 6366166565</t>
        </is>
      </c>
      <c r="E14" t="inlineStr">
        <is>
          <t>mudgaindustries.com</t>
        </is>
      </c>
      <c r="F14" t="inlineStr">
        <is>
          <t>https://mudgaindustries.com/</t>
        </is>
      </c>
      <c r="G14" t="inlineStr">
        <is>
          <t>All dals; also FSSAI/labelling consultancy; NPOP organic certified</t>
        </is>
      </c>
    </row>
    <row r="15">
      <c r="A15" t="inlineStr">
        <is>
          <t>Nova Packaging Company</t>
        </is>
      </c>
      <c r="B15" t="inlineStr">
        <is>
          <t>Food contract packing (dals, spices)</t>
        </is>
      </c>
      <c r="C15" t="inlineStr">
        <is>
          <t>Shankarappa Indl Estate, Magadi Main Rd, Sunkadakatte 560091</t>
        </is>
      </c>
      <c r="D15" t="inlineStr">
        <is>
          <t>07942560683 (IndiaMART virtual no.)</t>
        </is>
      </c>
      <c r="E15" t="inlineStr">
        <is>
          <t>novapacks.in</t>
        </is>
      </c>
      <c r="F15" t="inlineStr">
        <is>
          <t>https://www.novapacks.in/contract-packaging-services.html</t>
        </is>
      </c>
      <c r="G15" t="inlineStr">
        <is>
          <t>Prop. Vinod Kumar S.B.; listed 'Rs 1/piece' (price on request); also coding/printing. FSSAI not stated - ask</t>
        </is>
      </c>
    </row>
    <row r="16">
      <c r="A16" t="inlineStr">
        <is>
          <t>Jyothi Packers</t>
        </is>
      </c>
      <c r="B16" t="inlineStr">
        <is>
          <t>Grocery/pulse packing + delivery</t>
        </is>
      </c>
      <c r="C16" t="inlineStr">
        <is>
          <t>Yeshwanthpur</t>
        </is>
      </c>
      <c r="D16" t="inlineStr">
        <is>
          <t>(via ExportersIndia)</t>
        </is>
      </c>
      <c r="E16" t="inlineStr">
        <is>
          <t>jyothipackers.co.in</t>
        </is>
      </c>
      <c r="F16" t="inlineStr">
        <is>
          <t>https://www.exportersindia.com/product-detail/packing-food-commodity-5036316.htm</t>
        </is>
      </c>
      <c r="G16" t="inlineStr">
        <is>
          <t>Pulse machine ~8 t/shift; 1-10kg semi-auto; also delivers to shops</t>
        </is>
      </c>
    </row>
    <row r="17">
      <c r="A17" t="inlineStr">
        <is>
          <t>Pure Products (Isleworth Tradelinks Ltd)</t>
        </is>
      </c>
      <c r="B17" t="inlineStr">
        <is>
          <t>Private label &amp; contract mfg, FSSAI/ISO22000/HACCP</t>
        </is>
      </c>
      <c r="C17" t="inlineStr">
        <is>
          <t>26 2nd Main, Konnenna Agrahara, Murgeshpalya 560017</t>
        </is>
      </c>
      <c r="D17" t="inlineStr">
        <is>
          <t>(via ExportersIndia)</t>
        </is>
      </c>
      <c r="E17" t="inlineStr">
        <is>
          <t>pureproducts.co.in</t>
        </is>
      </c>
      <c r="F17" t="inlineStr">
        <is>
          <t>https://www.exportersindia.com/pureproducts/manufacturing-services.htm</t>
        </is>
      </c>
      <c r="G17" t="inlineStr">
        <is>
          <t>End-to-end for startups incl. label design, sourcing</t>
        </is>
      </c>
    </row>
    <row r="18">
      <c r="A18" t="inlineStr">
        <is>
          <t>RG Packaging (Raval Group)</t>
        </is>
      </c>
      <c r="B18" t="inlineStr">
        <is>
          <t>Repacker/co-packer, VFFS pouch packing</t>
        </is>
      </c>
      <c r="C18" t="inlineStr">
        <is>
          <t>Location to verify</t>
        </is>
      </c>
      <c r="D18" t="inlineStr">
        <is>
          <t>(see site)</t>
        </is>
      </c>
      <c r="E18" t="inlineStr">
        <is>
          <t>rgpackaging.in</t>
        </is>
      </c>
      <c r="F18" t="inlineStr">
        <is>
          <t>https://rgpackaging.in/</t>
        </is>
      </c>
      <c r="G18" t="inlineStr">
        <is>
          <t>Grains &amp; pulses; confirm Bangalore unit &amp; FSSAI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2026-10-13T10:32:49Z</dcterms:created>
  <dcterms:modified xmlns:dcterms="http://purl.org/dc/terms/" xmlns:xsi="http://www.w3.org/2001/XMLSchema-instance" xsi:type="dcterms:W3CDTF">2026-10-15T04:10:57Z</dcterms:modified>
</cp:coreProperties>
</file>