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nded cost" sheetId="1" state="visible" r:id="rId1"/>
    <sheet xmlns:r="http://schemas.openxmlformats.org/officeDocument/2006/relationships" name="₹1 lakh budg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ASSUMPTIONS (yellow = edit)</t>
        </is>
      </c>
    </row>
    <row r="2">
      <c r="A2" t="inlineStr">
        <is>
          <t>Packing pouch 1kg printed laminate (₹/pc) [ASSUMPTION]</t>
        </is>
      </c>
      <c r="B2" t="n">
        <v>6</v>
      </c>
    </row>
    <row r="3">
      <c r="A3" t="inlineStr">
        <is>
          <t>Packing pouch 500g (₹/pc) [ASSUMPTION]</t>
        </is>
      </c>
      <c r="B3" t="n">
        <v>4</v>
      </c>
    </row>
    <row r="4">
      <c r="A4" t="inlineStr">
        <is>
          <t>Label/sticker incl. MRP, FSSAI, batch (₹/pc) [ASSUMPTION]</t>
        </is>
      </c>
      <c r="B4" t="n">
        <v>1.5</v>
      </c>
    </row>
    <row r="5">
      <c r="A5" t="inlineStr">
        <is>
          <t>Repacking charge (₹/kg) [ASSUMPTION - get quotes]</t>
        </is>
      </c>
      <c r="B5" t="n">
        <v>4</v>
      </c>
    </row>
    <row r="6">
      <c r="A6" t="inlineStr">
        <is>
          <t>Transport APMC-&gt;repacker-&gt;dark store (₹/kg) [ASSUMPTION]</t>
        </is>
      </c>
      <c r="B6" t="n">
        <v>3</v>
      </c>
    </row>
    <row r="7">
      <c r="A7" t="inlineStr">
        <is>
          <t>Wastage/cleaning loss %</t>
        </is>
      </c>
      <c r="B7" t="n">
        <v>0.02</v>
      </c>
    </row>
    <row r="8">
      <c r="A8" t="inlineStr">
        <is>
          <t>GST on packaged pulses (5%, packs ≤25kg; PIB/GST Council FAQ)</t>
        </is>
      </c>
      <c r="B8" t="n">
        <v>0.05</v>
      </c>
    </row>
    <row r="9">
      <c r="A9" t="inlineStr">
        <is>
          <t>Quick-commerce commission % (Blinkit bands 2-18%, Zepto/Instamart ~10-25%) - use</t>
        </is>
      </c>
      <c r="B9" t="n">
        <v>0.18</v>
      </c>
    </row>
    <row r="10">
      <c r="A10" t="inlineStr">
        <is>
          <t>Other platform/logistics fees % of MRP [ASSUMPTION]</t>
        </is>
      </c>
      <c r="B10" t="n">
        <v>0.05</v>
      </c>
    </row>
    <row r="11">
      <c r="A11" t="inlineStr">
        <is>
          <t>Target net margin % of MRP</t>
        </is>
      </c>
      <c r="B11" t="n">
        <v>0.12</v>
      </c>
    </row>
    <row r="13">
      <c r="A13" t="inlineStr">
        <is>
          <t>Wholesale price source: PTI via Rediff, Bengaluru commodity prices 12-Oct-2026 (₹/quintal) https://money.rediff.com/news/market/bengaluru-commodity-prices-oct-12-rice-onion-dal-rates/56058020261012</t>
        </is>
      </c>
    </row>
    <row r="15">
      <c r="A15" s="1" t="inlineStr">
        <is>
          <t>Pulse</t>
        </is>
      </c>
      <c r="B15" s="1" t="inlineStr">
        <is>
          <t>Wholesale range ₹/qtl</t>
        </is>
      </c>
      <c r="C15" s="1" t="inlineStr">
        <is>
          <t>Assumed buy ₹/kg (good grade)</t>
        </is>
      </c>
      <c r="D15" s="1" t="inlineStr">
        <is>
          <t>Pack</t>
        </is>
      </c>
      <c r="E15" s="1" t="inlineStr">
        <is>
          <t>Kg</t>
        </is>
      </c>
      <c r="F15" s="1" t="inlineStr">
        <is>
          <t>Product cost</t>
        </is>
      </c>
      <c r="G15" s="1" t="inlineStr">
        <is>
          <t>Wastage</t>
        </is>
      </c>
      <c r="H15" s="1" t="inlineStr">
        <is>
          <t>Pouch</t>
        </is>
      </c>
      <c r="I15" s="1" t="inlineStr">
        <is>
          <t>Label</t>
        </is>
      </c>
      <c r="J15" s="1" t="inlineStr">
        <is>
          <t>Repack</t>
        </is>
      </c>
      <c r="K15" s="1" t="inlineStr">
        <is>
          <t>Transport</t>
        </is>
      </c>
      <c r="L15" s="1" t="inlineStr">
        <is>
          <t>Landed cost (ex-GST)</t>
        </is>
      </c>
      <c r="M15" s="1" t="inlineStr">
        <is>
          <t>Price needed so (MRP ex-GST)*(1-comm-fees-margin)=landed</t>
        </is>
      </c>
      <c r="N15" s="1" t="inlineStr">
        <is>
          <t>Suggested MRP incl 5% GST (rounded)</t>
        </is>
      </c>
      <c r="O15" s="1" t="inlineStr">
        <is>
          <t>Market check</t>
        </is>
      </c>
    </row>
    <row r="16">
      <c r="A16" t="inlineStr">
        <is>
          <t>Toor dal</t>
        </is>
      </c>
      <c r="B16" t="inlineStr">
        <is>
          <t>9,800-13,800</t>
        </is>
      </c>
      <c r="C16" t="n">
        <v>125</v>
      </c>
      <c r="D16" t="inlineStr">
        <is>
          <t>1 kg</t>
        </is>
      </c>
      <c r="E16" t="n">
        <v>1</v>
      </c>
      <c r="F16">
        <f>C16*E16</f>
        <v/>
      </c>
      <c r="G16">
        <f>F16*$B$7</f>
        <v/>
      </c>
      <c r="H16">
        <f>$B$3</f>
        <v/>
      </c>
      <c r="I16">
        <f>$B$5</f>
        <v/>
      </c>
      <c r="J16">
        <f>$B$6*E16</f>
        <v/>
      </c>
      <c r="K16">
        <f>$B$6*0+3*E16</f>
        <v/>
      </c>
      <c r="L16">
        <f>SUM(F16:K16)</f>
        <v/>
      </c>
      <c r="M16">
        <f>L16/(1-$B$9-$B$10-$B$11)</f>
        <v/>
      </c>
      <c r="N16">
        <f>CEILING(M16*(1+$B$8),5)</f>
        <v/>
      </c>
      <c r="O16" t="inlineStr">
        <is>
          <t>Compare vs Tata Sampann/BB Royal on app</t>
        </is>
      </c>
    </row>
    <row r="17">
      <c r="A17" t="inlineStr">
        <is>
          <t>Toor dal</t>
        </is>
      </c>
      <c r="B17" t="inlineStr">
        <is>
          <t>9,800-13,800</t>
        </is>
      </c>
      <c r="C17" t="n">
        <v>125</v>
      </c>
      <c r="D17" t="inlineStr">
        <is>
          <t>500 g</t>
        </is>
      </c>
      <c r="E17" t="n">
        <v>0.5</v>
      </c>
      <c r="F17">
        <f>C17*E17</f>
        <v/>
      </c>
      <c r="G17">
        <f>F17*$B$7</f>
        <v/>
      </c>
      <c r="H17">
        <f>$B$3</f>
        <v/>
      </c>
      <c r="I17">
        <f>$B$4</f>
        <v/>
      </c>
      <c r="J17">
        <f>$B$5*E17</f>
        <v/>
      </c>
      <c r="K17">
        <f>$B$6*E17</f>
        <v/>
      </c>
      <c r="L17">
        <f>SUM(F17:K17)</f>
        <v/>
      </c>
      <c r="M17">
        <f>L17/(1-$B$9-$B$10-$B$11)</f>
        <v/>
      </c>
      <c r="N17">
        <f>CEILING(M17*(1+$B$8),5)</f>
        <v/>
      </c>
      <c r="O17" t="inlineStr">
        <is>
          <t>Compare vs Tata Sampann/BB Royal on app</t>
        </is>
      </c>
    </row>
    <row r="18">
      <c r="A18" t="inlineStr">
        <is>
          <t>Urad dal</t>
        </is>
      </c>
      <c r="B18" t="inlineStr">
        <is>
          <t>10,800-17,800</t>
        </is>
      </c>
      <c r="C18" t="n">
        <v>140</v>
      </c>
      <c r="D18" t="inlineStr">
        <is>
          <t>1 kg</t>
        </is>
      </c>
      <c r="E18" t="n">
        <v>1</v>
      </c>
      <c r="F18">
        <f>C18*E18</f>
        <v/>
      </c>
      <c r="G18">
        <f>F18*$B$7</f>
        <v/>
      </c>
      <c r="H18">
        <f>$B$2</f>
        <v/>
      </c>
      <c r="I18">
        <f>$B$4</f>
        <v/>
      </c>
      <c r="J18">
        <f>$B$5*E18</f>
        <v/>
      </c>
      <c r="K18">
        <f>$B$6*E18</f>
        <v/>
      </c>
      <c r="L18">
        <f>SUM(F18:K18)</f>
        <v/>
      </c>
      <c r="M18">
        <f>L18/(1-$B$9-$B$10-$B$11)</f>
        <v/>
      </c>
      <c r="N18">
        <f>CEILING(M18*(1+$B$8),5)</f>
        <v/>
      </c>
      <c r="O18" t="inlineStr">
        <is>
          <t>Compare vs Tata Sampann/BB Royal on app</t>
        </is>
      </c>
    </row>
    <row r="19">
      <c r="A19" t="inlineStr">
        <is>
          <t>Urad dal</t>
        </is>
      </c>
      <c r="B19" t="inlineStr">
        <is>
          <t>10,800-17,800</t>
        </is>
      </c>
      <c r="C19" t="n">
        <v>140</v>
      </c>
      <c r="D19" t="inlineStr">
        <is>
          <t>500 g</t>
        </is>
      </c>
      <c r="E19" t="n">
        <v>0.5</v>
      </c>
      <c r="F19">
        <f>C19*E19</f>
        <v/>
      </c>
      <c r="G19">
        <f>F19*$B$7</f>
        <v/>
      </c>
      <c r="H19">
        <f>$B$3</f>
        <v/>
      </c>
      <c r="I19">
        <f>$B$4</f>
        <v/>
      </c>
      <c r="J19">
        <f>$B$5*E19</f>
        <v/>
      </c>
      <c r="K19">
        <f>$B$6*E19</f>
        <v/>
      </c>
      <c r="L19">
        <f>SUM(F19:K19)</f>
        <v/>
      </c>
      <c r="M19">
        <f>L19/(1-$B$9-$B$10-$B$11)</f>
        <v/>
      </c>
      <c r="N19">
        <f>CEILING(M19*(1+$B$8),5)</f>
        <v/>
      </c>
      <c r="O19" t="inlineStr">
        <is>
          <t>Compare vs Tata Sampann/BB Royal on app</t>
        </is>
      </c>
    </row>
    <row r="20">
      <c r="A20" t="inlineStr">
        <is>
          <t>Moong dal</t>
        </is>
      </c>
      <c r="B20" t="inlineStr">
        <is>
          <t>9,800-11,000</t>
        </is>
      </c>
      <c r="C20" t="n">
        <v>108</v>
      </c>
      <c r="D20" t="inlineStr">
        <is>
          <t>1 kg</t>
        </is>
      </c>
      <c r="E20" t="n">
        <v>1</v>
      </c>
      <c r="F20">
        <f>C20*E20</f>
        <v/>
      </c>
      <c r="G20">
        <f>F20*$B$7</f>
        <v/>
      </c>
      <c r="H20">
        <f>$B$2</f>
        <v/>
      </c>
      <c r="I20">
        <f>$B$4</f>
        <v/>
      </c>
      <c r="J20">
        <f>$B$5*E20</f>
        <v/>
      </c>
      <c r="K20">
        <f>$B$6*E20</f>
        <v/>
      </c>
      <c r="L20">
        <f>SUM(F20:K20)</f>
        <v/>
      </c>
      <c r="M20">
        <f>L20/(1-$B$9-$B$10-$B$11)</f>
        <v/>
      </c>
      <c r="N20">
        <f>CEILING(M20*(1+$B$8),5)</f>
        <v/>
      </c>
      <c r="O20" t="inlineStr">
        <is>
          <t>Compare vs Tata Sampann/BB Royal on app</t>
        </is>
      </c>
    </row>
    <row r="21">
      <c r="A21" t="inlineStr">
        <is>
          <t>Moong dal</t>
        </is>
      </c>
      <c r="B21" t="inlineStr">
        <is>
          <t>9,800-11,000</t>
        </is>
      </c>
      <c r="C21" t="n">
        <v>108</v>
      </c>
      <c r="D21" t="inlineStr">
        <is>
          <t>500 g</t>
        </is>
      </c>
      <c r="E21" t="n">
        <v>0.5</v>
      </c>
      <c r="F21">
        <f>C21*E21</f>
        <v/>
      </c>
      <c r="G21">
        <f>F21*$B$7</f>
        <v/>
      </c>
      <c r="H21">
        <f>$B$3</f>
        <v/>
      </c>
      <c r="I21">
        <f>$B$4</f>
        <v/>
      </c>
      <c r="J21">
        <f>$B$5*E21</f>
        <v/>
      </c>
      <c r="K21">
        <f>$B$6*E21</f>
        <v/>
      </c>
      <c r="L21">
        <f>SUM(F21:K21)</f>
        <v/>
      </c>
      <c r="M21">
        <f>L21/(1-$B$9-$B$10-$B$11)</f>
        <v/>
      </c>
      <c r="N21">
        <f>CEILING(M21*(1+$B$8),5)</f>
        <v/>
      </c>
      <c r="O21" t="inlineStr">
        <is>
          <t>Compare vs Tata Sampann/BB Royal on app</t>
        </is>
      </c>
    </row>
    <row r="22">
      <c r="A22" t="inlineStr">
        <is>
          <t>Chana (Bengal gram) dal</t>
        </is>
      </c>
      <c r="B22" t="inlineStr">
        <is>
          <t>7,800-9,800</t>
        </is>
      </c>
      <c r="C22" t="n">
        <v>90</v>
      </c>
      <c r="D22" t="inlineStr">
        <is>
          <t>1 kg</t>
        </is>
      </c>
      <c r="E22" t="n">
        <v>1</v>
      </c>
      <c r="F22">
        <f>C22*E22</f>
        <v/>
      </c>
      <c r="G22">
        <f>F22*$B$7</f>
        <v/>
      </c>
      <c r="H22">
        <f>$B$2</f>
        <v/>
      </c>
      <c r="I22">
        <f>$B$4</f>
        <v/>
      </c>
      <c r="J22">
        <f>$B$5*E22</f>
        <v/>
      </c>
      <c r="K22">
        <f>$B$6*E22</f>
        <v/>
      </c>
      <c r="L22">
        <f>SUM(F22:K22)</f>
        <v/>
      </c>
      <c r="M22">
        <f>L22/(1-$B$9-$B$10-$B$11)</f>
        <v/>
      </c>
      <c r="N22">
        <f>CEILING(M22*(1+$B$8),5)</f>
        <v/>
      </c>
      <c r="O22" t="inlineStr">
        <is>
          <t>Compare vs Tata Sampann/BB Royal on app</t>
        </is>
      </c>
    </row>
    <row r="23">
      <c r="A23" t="inlineStr">
        <is>
          <t>Chana (Bengal gram) dal</t>
        </is>
      </c>
      <c r="B23" t="inlineStr">
        <is>
          <t>7,800-9,800</t>
        </is>
      </c>
      <c r="C23" t="n">
        <v>90</v>
      </c>
      <c r="D23" t="inlineStr">
        <is>
          <t>500 g</t>
        </is>
      </c>
      <c r="E23" t="n">
        <v>0.5</v>
      </c>
      <c r="F23">
        <f>C23*E23</f>
        <v/>
      </c>
      <c r="G23">
        <f>F23*$B$7</f>
        <v/>
      </c>
      <c r="H23">
        <f>$B$3</f>
        <v/>
      </c>
      <c r="I23">
        <f>$B$4</f>
        <v/>
      </c>
      <c r="J23">
        <f>$B$5*E23</f>
        <v/>
      </c>
      <c r="K23">
        <f>$B$6*E23</f>
        <v/>
      </c>
      <c r="L23">
        <f>SUM(F23:K23)</f>
        <v/>
      </c>
      <c r="M23">
        <f>L23/(1-$B$9-$B$10-$B$11)</f>
        <v/>
      </c>
      <c r="N23">
        <f>CEILING(M23*(1+$B$8),5)</f>
        <v/>
      </c>
      <c r="O23" t="inlineStr">
        <is>
          <t>Compare vs Tata Sampann/BB Royal on app</t>
        </is>
      </c>
    </row>
    <row r="24">
      <c r="G24">
        <f>F24*$B$7</f>
        <v/>
      </c>
      <c r="H24">
        <f>$B$3</f>
        <v/>
      </c>
      <c r="I24">
        <f>$B$4</f>
        <v/>
      </c>
      <c r="J24">
        <f>$B$5*E24</f>
        <v/>
      </c>
      <c r="K24">
        <f>$B$6*E24</f>
        <v/>
      </c>
      <c r="M24">
        <f>L24/(1-$B$9-$B$10-$B$11)</f>
        <v/>
      </c>
      <c r="N24">
        <f>CEILING(M24*(1+$B$8),5)</f>
        <v/>
      </c>
    </row>
    <row r="25">
      <c r="A25" t="inlineStr">
        <is>
          <t>Note: commission is charged on selling price; if platforms take margin as buy price (B2B 'margin' model, common for Zepto/Instamart), selling price to platform = MRP x (1 - margin%). Confirm in your contract.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Head</t>
        </is>
      </c>
      <c r="B1" s="1" t="inlineStr">
        <is>
          <t>₹</t>
        </is>
      </c>
      <c r="C1" s="1" t="inlineStr">
        <is>
          <t>Notes</t>
        </is>
      </c>
    </row>
    <row r="2">
      <c r="A2" t="inlineStr">
        <is>
          <t>Initial stock (~400 kg mixed pulses @ ~₹115/kg)</t>
        </is>
      </c>
      <c r="B2" t="n">
        <v>45000</v>
      </c>
      <c r="C2" t="inlineStr">
        <is>
          <t>4 SKUs x 2 sizes; small lots from APMC</t>
        </is>
      </c>
    </row>
    <row r="3">
      <c r="A3" t="inlineStr">
        <is>
          <t>Packing pouches &amp; labels (MOQ printed laminate/stickers)</t>
        </is>
      </c>
      <c r="B3" t="n">
        <v>12000</v>
      </c>
      <c r="C3" t="inlineStr">
        <is>
          <t>Start with stock pouch + printed sticker to cut MOQ</t>
        </is>
      </c>
    </row>
    <row r="4">
      <c r="A4" t="inlineStr">
        <is>
          <t>Repacking + transport (first 2 runs)</t>
        </is>
      </c>
      <c r="B4" t="n">
        <v>5000</v>
      </c>
    </row>
    <row r="5">
      <c r="A5" t="inlineStr">
        <is>
          <t>Branding: logo, label design, Legal Metrology-compliant label</t>
        </is>
      </c>
      <c r="B5" t="n">
        <v>7000</v>
      </c>
    </row>
    <row r="6">
      <c r="A6" t="inlineStr">
        <is>
          <t>GS1 barcodes (EAN) registration</t>
        </is>
      </c>
      <c r="B6" t="n">
        <v>6000</v>
      </c>
      <c r="C6" t="inlineStr">
        <is>
          <t>[ASSUMPTION - verify GS1 India fee]</t>
        </is>
      </c>
    </row>
    <row r="7">
      <c r="A7" t="inlineStr">
        <is>
          <t>Trademark application (TM-A, individual/startup)</t>
        </is>
      </c>
      <c r="B7" t="n">
        <v>4500</v>
      </c>
      <c r="C7" t="inlineStr">
        <is>
          <t>₹4,500 govt fee for e-filing by individual/startup</t>
        </is>
      </c>
    </row>
    <row r="8">
      <c r="A8" t="inlineStr">
        <is>
          <t>Platform onboarding, photos, catalogue, lab test report</t>
        </is>
      </c>
      <c r="B8" t="n">
        <v>8000</v>
      </c>
      <c r="C8" t="inlineStr">
        <is>
          <t>NABL test report often requested</t>
        </is>
      </c>
    </row>
    <row r="9">
      <c r="A9" t="inlineStr">
        <is>
          <t>Kirana/line-supplier samples &amp; local marketing</t>
        </is>
      </c>
      <c r="B9" t="n">
        <v>4500</v>
      </c>
    </row>
    <row r="10">
      <c r="A10" t="inlineStr">
        <is>
          <t>Buffer/working capital (platform payouts lag 7-30 days)</t>
        </is>
      </c>
      <c r="B10" t="n">
        <v>8000</v>
      </c>
    </row>
    <row r="11">
      <c r="A11" t="inlineStr">
        <is>
          <t>TOTAL</t>
        </is>
      </c>
      <c r="B11">
        <f>SUM(B2:B10)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2026-10-13T10:15:49Z</dcterms:created>
  <dcterms:modified xmlns:dcterms="http://purl.org/dc/terms/" xmlns:xsi="http://www.w3.org/2001/XMLSchema-instance" xsi:type="dcterms:W3CDTF">2026-10-13T10:15:57Z</dcterms:modified>
</cp:coreProperties>
</file>